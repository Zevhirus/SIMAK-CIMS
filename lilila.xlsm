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_\Downloads\"/>
    </mc:Choice>
  </mc:AlternateContent>
  <xr:revisionPtr revIDLastSave="0" documentId="13_ncr:1_{2622B43A-EBD2-4333-8572-C10DF915C91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1" r:id="rId1"/>
    <sheet name="LANTAI 1" sheetId="2" r:id="rId2"/>
    <sheet name="LANTAI 2" sheetId="3" r:id="rId3"/>
    <sheet name="LANTAI 3" sheetId="4" r:id="rId4"/>
    <sheet name="MASTER DATA" sheetId="5" r:id="rId5"/>
  </sheets>
  <definedNames>
    <definedName name="DaftarMinggu">OFFSET('MASTER DATA'!$Z$2,0,0,MIN(100,MAX(1,MAX('MASTER DATA'!$D$2:$D$5000))),1)</definedName>
    <definedName name="PilihanKebersihan">'MASTER DATA'!$A$2:$A$3</definedName>
    <definedName name="_xlnm.Print_Area" localSheetId="0">DASHBOARD!$A$1:$R$55</definedName>
  </definedNames>
  <calcPr calcId="191029"/>
</workbook>
</file>

<file path=xl/calcChain.xml><?xml version="1.0" encoding="utf-8"?>
<calcChain xmlns="http://schemas.openxmlformats.org/spreadsheetml/2006/main">
  <c r="Z3" i="5" l="1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2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12" i="5"/>
  <c r="X11" i="5"/>
  <c r="X10" i="5"/>
  <c r="X9" i="5"/>
  <c r="X8" i="5"/>
  <c r="X7" i="5"/>
  <c r="X6" i="5"/>
  <c r="X5" i="5"/>
  <c r="X4" i="5"/>
  <c r="X3" i="5"/>
  <c r="X2" i="5"/>
  <c r="B53" i="1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AC110" i="1"/>
  <c r="AA110" i="1"/>
  <c r="AC109" i="1"/>
  <c r="AA109" i="1" s="1"/>
  <c r="AC108" i="1"/>
  <c r="AA108" i="1"/>
  <c r="AC107" i="1"/>
  <c r="AA107" i="1" s="1"/>
  <c r="AC106" i="1"/>
  <c r="AA106" i="1"/>
  <c r="AC105" i="1"/>
  <c r="AA105" i="1" s="1"/>
  <c r="AC104" i="1"/>
  <c r="AA104" i="1"/>
  <c r="AC103" i="1"/>
  <c r="AA103" i="1" s="1"/>
  <c r="AC102" i="1"/>
  <c r="AA102" i="1"/>
  <c r="AC101" i="1"/>
  <c r="AA101" i="1" s="1"/>
  <c r="AC100" i="1"/>
  <c r="AA100" i="1"/>
  <c r="AC99" i="1"/>
  <c r="AA99" i="1" s="1"/>
  <c r="AC98" i="1"/>
  <c r="AA98" i="1"/>
  <c r="AC97" i="1"/>
  <c r="AA97" i="1" s="1"/>
  <c r="AC96" i="1"/>
  <c r="AA96" i="1"/>
  <c r="AC95" i="1"/>
  <c r="AA95" i="1" s="1"/>
  <c r="AC94" i="1"/>
  <c r="AA94" i="1"/>
  <c r="AC93" i="1"/>
  <c r="AA93" i="1" s="1"/>
  <c r="AC92" i="1"/>
  <c r="AA92" i="1"/>
  <c r="AC91" i="1"/>
  <c r="AA91" i="1" s="1"/>
  <c r="AC90" i="1"/>
  <c r="AA90" i="1"/>
  <c r="AC89" i="1"/>
  <c r="AA89" i="1" s="1"/>
  <c r="AC88" i="1"/>
  <c r="AA88" i="1"/>
  <c r="AC87" i="1"/>
  <c r="AA87" i="1" s="1"/>
  <c r="AC86" i="1"/>
  <c r="AA86" i="1"/>
  <c r="AC85" i="1"/>
  <c r="AA85" i="1" s="1"/>
  <c r="AC84" i="1"/>
  <c r="AA84" i="1"/>
  <c r="AC83" i="1"/>
  <c r="AA83" i="1" s="1"/>
  <c r="AC82" i="1"/>
  <c r="AA82" i="1"/>
  <c r="AC81" i="1"/>
  <c r="AA81" i="1" s="1"/>
  <c r="AC80" i="1"/>
  <c r="AA80" i="1"/>
  <c r="AC79" i="1"/>
  <c r="AA79" i="1" s="1"/>
  <c r="AC78" i="1"/>
  <c r="AA78" i="1"/>
  <c r="AC77" i="1"/>
  <c r="AA77" i="1" s="1"/>
  <c r="AC76" i="1"/>
  <c r="AA76" i="1"/>
  <c r="AC75" i="1"/>
  <c r="AA75" i="1" s="1"/>
  <c r="AC74" i="1"/>
  <c r="AA74" i="1"/>
  <c r="AC73" i="1"/>
  <c r="AA73" i="1" s="1"/>
  <c r="AC72" i="1"/>
  <c r="AA72" i="1"/>
  <c r="AC71" i="1"/>
  <c r="AA71" i="1" s="1"/>
  <c r="AC70" i="1"/>
  <c r="AA70" i="1" s="1"/>
  <c r="AC69" i="1"/>
  <c r="AA69" i="1"/>
  <c r="AC68" i="1"/>
  <c r="AA68" i="1" s="1"/>
  <c r="AC67" i="1"/>
  <c r="AA67" i="1" s="1"/>
  <c r="AC66" i="1"/>
  <c r="AA66" i="1" s="1"/>
  <c r="AC65" i="1"/>
  <c r="AA65" i="1" s="1"/>
  <c r="AC64" i="1"/>
  <c r="AA64" i="1" s="1"/>
  <c r="AC63" i="1"/>
  <c r="AA63" i="1"/>
  <c r="AC62" i="1"/>
  <c r="AA62" i="1" s="1"/>
  <c r="AC61" i="1"/>
  <c r="AA61" i="1"/>
  <c r="AC60" i="1"/>
  <c r="AA60" i="1" s="1"/>
  <c r="AC59" i="1"/>
  <c r="AA59" i="1" s="1"/>
  <c r="AC58" i="1"/>
  <c r="AA58" i="1" s="1"/>
  <c r="AC57" i="1"/>
  <c r="AA57" i="1" s="1"/>
  <c r="AC56" i="1"/>
  <c r="AA56" i="1" s="1"/>
  <c r="AC55" i="1"/>
  <c r="AA55" i="1"/>
  <c r="AC54" i="1"/>
  <c r="AA54" i="1" s="1"/>
  <c r="B33" i="1"/>
  <c r="B32" i="1"/>
  <c r="B31" i="1"/>
  <c r="AB4" i="1"/>
  <c r="AB3" i="1"/>
  <c r="G30" i="4" l="1"/>
  <c r="G31" i="4" s="1"/>
  <c r="AB14" i="1"/>
  <c r="AB20" i="1" s="1"/>
  <c r="AC20" i="1" s="1"/>
  <c r="G30" i="3"/>
  <c r="G31" i="3" s="1"/>
  <c r="G27" i="2"/>
  <c r="G28" i="2" s="1"/>
  <c r="AB22" i="1"/>
  <c r="AC22" i="1" s="1"/>
  <c r="AE110" i="1"/>
  <c r="AD109" i="1"/>
  <c r="AE108" i="1"/>
  <c r="AD107" i="1"/>
  <c r="AE106" i="1"/>
  <c r="AD105" i="1"/>
  <c r="AE104" i="1"/>
  <c r="AD103" i="1"/>
  <c r="AE102" i="1"/>
  <c r="AD101" i="1"/>
  <c r="AE100" i="1"/>
  <c r="AD99" i="1"/>
  <c r="AE98" i="1"/>
  <c r="AD97" i="1"/>
  <c r="AE96" i="1"/>
  <c r="AD95" i="1"/>
  <c r="AE94" i="1"/>
  <c r="AD93" i="1"/>
  <c r="AE92" i="1"/>
  <c r="AD91" i="1"/>
  <c r="AE90" i="1"/>
  <c r="AD89" i="1"/>
  <c r="AE88" i="1"/>
  <c r="AD87" i="1"/>
  <c r="AE86" i="1"/>
  <c r="AD85" i="1"/>
  <c r="AE84" i="1"/>
  <c r="AD83" i="1"/>
  <c r="AE82" i="1"/>
  <c r="AD81" i="1"/>
  <c r="AE80" i="1"/>
  <c r="AD79" i="1"/>
  <c r="AE78" i="1"/>
  <c r="AD77" i="1"/>
  <c r="AE76" i="1"/>
  <c r="AD75" i="1"/>
  <c r="AE74" i="1"/>
  <c r="AD73" i="1"/>
  <c r="AE72" i="1"/>
  <c r="AD71" i="1"/>
  <c r="AE70" i="1"/>
  <c r="AE109" i="1"/>
  <c r="AF109" i="1" s="1"/>
  <c r="AE107" i="1"/>
  <c r="AE105" i="1"/>
  <c r="AF105" i="1" s="1"/>
  <c r="AE103" i="1"/>
  <c r="AE101" i="1"/>
  <c r="AF101" i="1" s="1"/>
  <c r="AE99" i="1"/>
  <c r="AE97" i="1"/>
  <c r="AF97" i="1" s="1"/>
  <c r="AE95" i="1"/>
  <c r="AE93" i="1"/>
  <c r="AF93" i="1" s="1"/>
  <c r="AE91" i="1"/>
  <c r="AE89" i="1"/>
  <c r="AF89" i="1" s="1"/>
  <c r="AE87" i="1"/>
  <c r="AE85" i="1"/>
  <c r="AF85" i="1" s="1"/>
  <c r="AE83" i="1"/>
  <c r="AE81" i="1"/>
  <c r="AF81" i="1" s="1"/>
  <c r="AE79" i="1"/>
  <c r="AE77" i="1"/>
  <c r="AF77" i="1" s="1"/>
  <c r="AE75" i="1"/>
  <c r="AE73" i="1"/>
  <c r="AF73" i="1" s="1"/>
  <c r="AE71" i="1"/>
  <c r="AE69" i="1"/>
  <c r="AD68" i="1"/>
  <c r="AE67" i="1"/>
  <c r="AD66" i="1"/>
  <c r="AE65" i="1"/>
  <c r="AD64" i="1"/>
  <c r="AE63" i="1"/>
  <c r="AD62" i="1"/>
  <c r="AE61" i="1"/>
  <c r="AD60" i="1"/>
  <c r="AE59" i="1"/>
  <c r="AD58" i="1"/>
  <c r="AE57" i="1"/>
  <c r="AD56" i="1"/>
  <c r="AE55" i="1"/>
  <c r="AD54" i="1"/>
  <c r="AD11" i="1"/>
  <c r="AF11" i="1" s="1"/>
  <c r="AD110" i="1"/>
  <c r="AD108" i="1"/>
  <c r="AD106" i="1"/>
  <c r="AD104" i="1"/>
  <c r="AD102" i="1"/>
  <c r="AD100" i="1"/>
  <c r="AD98" i="1"/>
  <c r="AD96" i="1"/>
  <c r="AD94" i="1"/>
  <c r="AD92" i="1"/>
  <c r="AD90" i="1"/>
  <c r="AD88" i="1"/>
  <c r="AD86" i="1"/>
  <c r="AD84" i="1"/>
  <c r="AD82" i="1"/>
  <c r="AD80" i="1"/>
  <c r="AD78" i="1"/>
  <c r="AD76" i="1"/>
  <c r="AD74" i="1"/>
  <c r="AD72" i="1"/>
  <c r="AD70" i="1"/>
  <c r="AD69" i="1"/>
  <c r="AE68" i="1"/>
  <c r="AD67" i="1"/>
  <c r="AE66" i="1"/>
  <c r="AF66" i="1" s="1"/>
  <c r="AD65" i="1"/>
  <c r="AE64" i="1"/>
  <c r="AF64" i="1" s="1"/>
  <c r="AD63" i="1"/>
  <c r="AE62" i="1"/>
  <c r="AF62" i="1" s="1"/>
  <c r="AD61" i="1"/>
  <c r="AE60" i="1"/>
  <c r="AF60" i="1" s="1"/>
  <c r="AD59" i="1"/>
  <c r="AE58" i="1"/>
  <c r="AF58" i="1" s="1"/>
  <c r="AD57" i="1"/>
  <c r="AE56" i="1"/>
  <c r="AF56" i="1" s="1"/>
  <c r="AD55" i="1"/>
  <c r="AE54" i="1"/>
  <c r="AB5" i="1"/>
  <c r="AC9" i="1"/>
  <c r="AE9" i="1"/>
  <c r="AB10" i="1"/>
  <c r="AJ10" i="1" s="1"/>
  <c r="AD10" i="1"/>
  <c r="AF10" i="1" s="1"/>
  <c r="AC11" i="1"/>
  <c r="AB9" i="1"/>
  <c r="AJ9" i="1" s="1"/>
  <c r="AD9" i="1"/>
  <c r="AC10" i="1"/>
  <c r="AE10" i="1"/>
  <c r="AB11" i="1"/>
  <c r="AJ11" i="1" s="1"/>
  <c r="AE11" i="1"/>
  <c r="AF71" i="1" l="1"/>
  <c r="AF75" i="1"/>
  <c r="AF79" i="1"/>
  <c r="AF83" i="1"/>
  <c r="AF87" i="1"/>
  <c r="AF91" i="1"/>
  <c r="AF95" i="1"/>
  <c r="AF99" i="1"/>
  <c r="AF103" i="1"/>
  <c r="AF107" i="1"/>
  <c r="AF92" i="1"/>
  <c r="AF94" i="1"/>
  <c r="AF96" i="1"/>
  <c r="AF98" i="1"/>
  <c r="AF100" i="1"/>
  <c r="AF102" i="1"/>
  <c r="AF104" i="1"/>
  <c r="AF106" i="1"/>
  <c r="AF108" i="1"/>
  <c r="AF110" i="1"/>
  <c r="AB21" i="1"/>
  <c r="AC21" i="1" s="1"/>
  <c r="AB23" i="1"/>
  <c r="AC23" i="1" s="1"/>
  <c r="AE23" i="1" s="1"/>
  <c r="AB18" i="1"/>
  <c r="AC18" i="1" s="1"/>
  <c r="AB19" i="1"/>
  <c r="AC19" i="1" s="1"/>
  <c r="AE19" i="1" s="1"/>
  <c r="AB17" i="1"/>
  <c r="AC17" i="1" s="1"/>
  <c r="AB16" i="1"/>
  <c r="AC16" i="1" s="1"/>
  <c r="AF16" i="1" s="1"/>
  <c r="AF72" i="1"/>
  <c r="AF74" i="1"/>
  <c r="AF76" i="1"/>
  <c r="AF78" i="1"/>
  <c r="AF80" i="1"/>
  <c r="AF82" i="1"/>
  <c r="AF84" i="1"/>
  <c r="AF86" i="1"/>
  <c r="AF88" i="1"/>
  <c r="AF90" i="1"/>
  <c r="AF68" i="1"/>
  <c r="AF54" i="1"/>
  <c r="AF70" i="1"/>
  <c r="AF69" i="1"/>
  <c r="AF67" i="1"/>
  <c r="AF65" i="1"/>
  <c r="AF63" i="1"/>
  <c r="AF61" i="1"/>
  <c r="AF59" i="1"/>
  <c r="AF57" i="1"/>
  <c r="AF55" i="1"/>
  <c r="AD12" i="1"/>
  <c r="AB35" i="1" s="1"/>
  <c r="AF9" i="1"/>
  <c r="AF12" i="1" s="1"/>
  <c r="AE17" i="1"/>
  <c r="AF17" i="1"/>
  <c r="AD17" i="1"/>
  <c r="AF20" i="1"/>
  <c r="AD20" i="1"/>
  <c r="AE20" i="1"/>
  <c r="AE12" i="1"/>
  <c r="AB36" i="1" s="1"/>
  <c r="AB6" i="1"/>
  <c r="AB7" i="1" s="1"/>
  <c r="H6" i="1" s="1"/>
  <c r="D33" i="1"/>
  <c r="AM11" i="1"/>
  <c r="Q32" i="1"/>
  <c r="I32" i="1"/>
  <c r="AC31" i="1"/>
  <c r="AC30" i="1"/>
  <c r="AC28" i="1"/>
  <c r="P32" i="1"/>
  <c r="J32" i="1"/>
  <c r="AC29" i="1"/>
  <c r="AC27" i="1"/>
  <c r="AK10" i="1"/>
  <c r="AI10" i="1"/>
  <c r="N32" i="1" s="1"/>
  <c r="AG10" i="1"/>
  <c r="AH10" i="1" s="1"/>
  <c r="L32" i="1" s="1"/>
  <c r="D31" i="1"/>
  <c r="AM9" i="1"/>
  <c r="P33" i="1"/>
  <c r="J33" i="1"/>
  <c r="AD29" i="1"/>
  <c r="AD27" i="1"/>
  <c r="Q33" i="1"/>
  <c r="I33" i="1"/>
  <c r="AD31" i="1"/>
  <c r="AD30" i="1"/>
  <c r="AD28" i="1"/>
  <c r="AI11" i="1"/>
  <c r="N33" i="1" s="1"/>
  <c r="AK11" i="1"/>
  <c r="AG11" i="1"/>
  <c r="AH11" i="1" s="1"/>
  <c r="L33" i="1" s="1"/>
  <c r="D32" i="1"/>
  <c r="AM10" i="1"/>
  <c r="Q31" i="1"/>
  <c r="I31" i="1"/>
  <c r="AB29" i="1"/>
  <c r="AB27" i="1"/>
  <c r="AB31" i="1"/>
  <c r="P31" i="1"/>
  <c r="AB30" i="1"/>
  <c r="AB28" i="1"/>
  <c r="AC12" i="1"/>
  <c r="AK9" i="1"/>
  <c r="AG9" i="1"/>
  <c r="K31" i="1" s="1"/>
  <c r="AF23" i="1"/>
  <c r="AE21" i="1"/>
  <c r="AF21" i="1"/>
  <c r="AD21" i="1"/>
  <c r="AF18" i="1"/>
  <c r="AD18" i="1"/>
  <c r="AE18" i="1"/>
  <c r="AF22" i="1"/>
  <c r="AD22" i="1"/>
  <c r="AE22" i="1"/>
  <c r="AE16" i="1" l="1"/>
  <c r="AD19" i="1"/>
  <c r="AD23" i="1"/>
  <c r="AD16" i="1"/>
  <c r="AF19" i="1"/>
  <c r="K33" i="1"/>
  <c r="J31" i="1"/>
  <c r="K32" i="1"/>
  <c r="AB41" i="1"/>
  <c r="AC41" i="1" s="1"/>
  <c r="AD41" i="1" s="1"/>
  <c r="AB48" i="1"/>
  <c r="AC48" i="1" s="1"/>
  <c r="AD48" i="1" s="1"/>
  <c r="AB49" i="1"/>
  <c r="AC49" i="1" s="1"/>
  <c r="AD49" i="1" s="1"/>
  <c r="AB44" i="1"/>
  <c r="AC44" i="1" s="1"/>
  <c r="AD44" i="1" s="1"/>
  <c r="AB45" i="1"/>
  <c r="AC45" i="1" s="1"/>
  <c r="AD45" i="1" s="1"/>
  <c r="AB50" i="1"/>
  <c r="AC50" i="1" s="1"/>
  <c r="AD50" i="1" s="1"/>
  <c r="AB43" i="1"/>
  <c r="AC43" i="1" s="1"/>
  <c r="AD43" i="1" s="1"/>
  <c r="AB47" i="1"/>
  <c r="AC47" i="1" s="1"/>
  <c r="AD47" i="1" s="1"/>
  <c r="AB42" i="1"/>
  <c r="AC42" i="1" s="1"/>
  <c r="AD42" i="1" s="1"/>
  <c r="AB46" i="1"/>
  <c r="AC46" i="1" s="1"/>
  <c r="AD46" i="1" s="1"/>
  <c r="AI9" i="1"/>
  <c r="N31" i="1" s="1"/>
  <c r="AB37" i="1"/>
  <c r="P34" i="1"/>
  <c r="J34" i="1"/>
  <c r="Q34" i="1"/>
  <c r="I34" i="1"/>
  <c r="J9" i="1"/>
  <c r="J10" i="1"/>
  <c r="AM12" i="1"/>
  <c r="B10" i="1"/>
  <c r="AG12" i="1"/>
  <c r="AH12" i="1" s="1"/>
  <c r="L34" i="1" s="1"/>
  <c r="AH9" i="1"/>
  <c r="L31" i="1" s="1"/>
  <c r="AK12" i="1"/>
  <c r="K34" i="1" l="1"/>
  <c r="AL12" i="1"/>
  <c r="AI12" i="1" s="1"/>
  <c r="N34" i="1" s="1"/>
  <c r="N10" i="1"/>
  <c r="F10" i="1"/>
  <c r="O6" i="1"/>
  <c r="D34" i="1"/>
  <c r="B9" i="1"/>
  <c r="F9" i="1" l="1"/>
  <c r="N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D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Tabel RINGKASAN (D:I): 1 baris per lantai per minggu. Isi MINGGU dengan ANGKA (1, 2, 3 ...). Diisi otomatis oleh tombol SIMPAN.</t>
        </r>
      </text>
    </comment>
    <comment ref="K1" authorId="0" shapeId="0" xr:uid="{00000000-0006-0000-0400-000002000000}">
      <text>
        <r>
          <rPr>
            <sz val="11"/>
            <color theme="1"/>
            <rFont val="Calibri"/>
            <family val="2"/>
            <scheme val="minor"/>
          </rPr>
          <t>Tabel DETAIL (K:X): 1 baris per area per lantai per minggu. Diisi otomatis oleh tombol SIMPAN. Dashboard membaca tabel ini.</t>
        </r>
      </text>
    </comment>
    <comment ref="Z1" authorId="0" shapeId="0" xr:uid="{00000000-0006-0000-0400-000003000000}">
      <text>
        <r>
          <rPr>
            <sz val="11"/>
            <color theme="1"/>
            <rFont val="Calibri"/>
            <family val="2"/>
            <scheme val="minor"/>
          </rPr>
          <t>Daftar pilihan untuk dropdown minggu di DASHBOARD (otomatis, jangan diubah).</t>
        </r>
      </text>
    </comment>
    <comment ref="B13" authorId="0" shapeId="0" xr:uid="{00000000-0006-0000-0400-000004000000}">
      <text>
        <r>
          <rPr>
            <sz val="11"/>
            <color theme="1"/>
            <rFont val="Calibri"/>
            <family val="2"/>
            <scheme val="minor"/>
          </rPr>
          <t>Tanggal hari SENIN pada Minggu 1. Dipakai dashboard untuk menghitung PERIODE minggu yang belum punya data, dan oleh makro SIMPAN untuk menulis tanggal minggu berikutnya.</t>
        </r>
      </text>
    </comment>
  </commentList>
</comments>
</file>

<file path=xl/sharedStrings.xml><?xml version="1.0" encoding="utf-8"?>
<sst xmlns="http://schemas.openxmlformats.org/spreadsheetml/2006/main" count="1006" uniqueCount="186">
  <si>
    <t>DATA BANTU GRAFIK &amp; KARTU - dihitung otomatis dari MASTER DATA, jangan diubah</t>
  </si>
  <si>
    <t>DASHBOARD</t>
  </si>
  <si>
    <t>Pilih minggu pada kotak PERIODE PENILAIAN. Seluruh angka &amp; grafik mengikuti data yang tersimpan di MASTER DATA.</t>
  </si>
  <si>
    <t>REKAP PENILAIAN KEBERSIHAN</t>
  </si>
  <si>
    <t>Minggu dipilih (angka)</t>
  </si>
  <si>
    <t>PT SURVEYOR INDONESIA CABANG MAKASSAR</t>
  </si>
  <si>
    <t>Minggu tersimpan terakhir</t>
  </si>
  <si>
    <t>Senin minggu dipilih</t>
  </si>
  <si>
    <t>PERIODE PENILAIAN</t>
  </si>
  <si>
    <t>Minggu 1</t>
  </si>
  <si>
    <t>PERIODE</t>
  </si>
  <si>
    <t>STATUS DATA</t>
  </si>
  <si>
    <t>Jumat minggu dipilih</t>
  </si>
  <si>
    <t>Periode (hitungan)</t>
  </si>
  <si>
    <t>TOTAL PETUGAS</t>
  </si>
  <si>
    <t>RATA-RATA SKOR</t>
  </si>
  <si>
    <t>TOTAL CEKLIS BERSIH (✓)</t>
  </si>
  <si>
    <t>KATEGORI KESELURUHAN</t>
  </si>
  <si>
    <t>Lantai</t>
  </si>
  <si>
    <t>Baris ringkasan</t>
  </si>
  <si>
    <t>Jumlah area</t>
  </si>
  <si>
    <t>Ceklis ✓</t>
  </si>
  <si>
    <t>Ceklis ✕</t>
  </si>
  <si>
    <t>Skor</t>
  </si>
  <si>
    <t>Skor maksimal</t>
  </si>
  <si>
    <t>Capaian</t>
  </si>
  <si>
    <t>Kategori</t>
  </si>
  <si>
    <t>Petugas</t>
  </si>
  <si>
    <t>Ada data (1/0)</t>
  </si>
  <si>
    <t>Rata-rata skor</t>
  </si>
  <si>
    <t>Jumlah petugas</t>
  </si>
  <si>
    <t>LANTAI 1</t>
  </si>
  <si>
    <t>LANTAI 2</t>
  </si>
  <si>
    <t>LANTAI 3</t>
  </si>
  <si>
    <t>Tren Skor Mingguan (8 minggu)</t>
  </si>
  <si>
    <t>Status Ceklis</t>
  </si>
  <si>
    <t>10 Area Skor Terendah</t>
  </si>
  <si>
    <t>SEMUA</t>
  </si>
  <si>
    <t>Minggu awal grafik</t>
  </si>
  <si>
    <t>No</t>
  </si>
  <si>
    <t>Minggu</t>
  </si>
  <si>
    <t>Label</t>
  </si>
  <si>
    <t>Lantai 1</t>
  </si>
  <si>
    <t>Lantai 2</t>
  </si>
  <si>
    <t>Lantai 3</t>
  </si>
  <si>
    <t>Hari</t>
  </si>
  <si>
    <t>Senin</t>
  </si>
  <si>
    <t>Selasa</t>
  </si>
  <si>
    <t>Rekap per Lantai (minggu dipilih)</t>
  </si>
  <si>
    <t>Rabu</t>
  </si>
  <si>
    <t>LANTAI</t>
  </si>
  <si>
    <t>PETUGAS</t>
  </si>
  <si>
    <t>AREA</t>
  </si>
  <si>
    <t>SKOR</t>
  </si>
  <si>
    <t>MAKS.</t>
  </si>
  <si>
    <t>CAPAIAN</t>
  </si>
  <si>
    <t>KATEGORI</t>
  </si>
  <si>
    <t>JML ✓</t>
  </si>
  <si>
    <t>JML ✕</t>
  </si>
  <si>
    <t>Kamis</t>
  </si>
  <si>
    <t>Jumat</t>
  </si>
  <si>
    <t>SEMUA LANTAI</t>
  </si>
  <si>
    <t>Status</t>
  </si>
  <si>
    <t>Jumlah</t>
  </si>
  <si>
    <t>Bersih</t>
  </si>
  <si>
    <t>Skor per Lantai vs Skor Maksimal</t>
  </si>
  <si>
    <t>Capaian Ceklis per Hari (% ✓)</t>
  </si>
  <si>
    <t>Tidak bersih</t>
  </si>
  <si>
    <t>Belum diisi</t>
  </si>
  <si>
    <t>Peringkat</t>
  </si>
  <si>
    <t>Kunci</t>
  </si>
  <si>
    <t>Area</t>
  </si>
  <si>
    <t>Area (dari form)</t>
  </si>
  <si>
    <t>Skor minggu dipilih</t>
  </si>
  <si>
    <t>Kunci urut</t>
  </si>
  <si>
    <t>Sumber data: sheet MASTER DATA (diisi tombol SIMPAN di sheet LANTAI 1-3). Perhitungan bantu grafik ada di kolom AA ke kanan - jangan diubah.</t>
  </si>
  <si>
    <t>FORM PENILAIAN KEBERSIHAN</t>
  </si>
  <si>
    <t>PETUGAS: QOLBY</t>
  </si>
  <si>
    <t>PERIODE: SENIN-JUMAT</t>
  </si>
  <si>
    <t>KONDISI KEBERSIHAN</t>
  </si>
  <si>
    <t>JADWAL PEMERIKSAAN</t>
  </si>
  <si>
    <t>SCORE</t>
  </si>
  <si>
    <t>10.00</t>
  </si>
  <si>
    <t>SN</t>
  </si>
  <si>
    <t>SL</t>
  </si>
  <si>
    <t>RB</t>
  </si>
  <si>
    <t>KM</t>
  </si>
  <si>
    <t>JM</t>
  </si>
  <si>
    <t>Jendela Kaca</t>
  </si>
  <si>
    <t>Semua Pintu</t>
  </si>
  <si>
    <t>plafon</t>
  </si>
  <si>
    <t>lobby</t>
  </si>
  <si>
    <t>lantai</t>
  </si>
  <si>
    <t>westafel depan</t>
  </si>
  <si>
    <t>toilet depan</t>
  </si>
  <si>
    <t>perpustakaan</t>
  </si>
  <si>
    <t>ruang meeting</t>
  </si>
  <si>
    <t>gudang</t>
  </si>
  <si>
    <t>pantry</t>
  </si>
  <si>
    <t>sink</t>
  </si>
  <si>
    <t>westafel belakang</t>
  </si>
  <si>
    <t>toilet belakang</t>
  </si>
  <si>
    <t xml:space="preserve"> </t>
  </si>
  <si>
    <t>janitor</t>
  </si>
  <si>
    <t>bawah tangga</t>
  </si>
  <si>
    <t>area loker</t>
  </si>
  <si>
    <t>TOTAL:</t>
  </si>
  <si>
    <t>KATEGORI:</t>
  </si>
  <si>
    <t>PETUGAS: PARIS DAN WAWAN</t>
  </si>
  <si>
    <t>Halaman Depan</t>
  </si>
  <si>
    <t>Area Parkir Mobil</t>
  </si>
  <si>
    <t>Tangga Depan</t>
  </si>
  <si>
    <t>Plafon</t>
  </si>
  <si>
    <t>Ruang GM</t>
  </si>
  <si>
    <t>Ruang SM 1</t>
  </si>
  <si>
    <t>Ruang SM 2</t>
  </si>
  <si>
    <t>Ruang Manager</t>
  </si>
  <si>
    <t>Ruang Meeting</t>
  </si>
  <si>
    <t>Ruang Tender</t>
  </si>
  <si>
    <t>Area Kerja Karyawan</t>
  </si>
  <si>
    <t>Ruang Arsip</t>
  </si>
  <si>
    <t>Sink</t>
  </si>
  <si>
    <t>Wastafel</t>
  </si>
  <si>
    <t>Toilet</t>
  </si>
  <si>
    <t>Balkon</t>
  </si>
  <si>
    <t>Tanaman</t>
  </si>
  <si>
    <t>PETUGAS: ABD. RAZAK DAN NUR MOH GHOZALI</t>
  </si>
  <si>
    <t>Area Parkir Motor</t>
  </si>
  <si>
    <t>Area Kolam</t>
  </si>
  <si>
    <t>Toilet Depan</t>
  </si>
  <si>
    <t>Ruang Kasir</t>
  </si>
  <si>
    <t>Ruang Manager BS</t>
  </si>
  <si>
    <t>Ruang GYM</t>
  </si>
  <si>
    <t>Gudang LT3</t>
  </si>
  <si>
    <t>Musholla</t>
  </si>
  <si>
    <t>Area Wudhu</t>
  </si>
  <si>
    <t>Toilet Belakang LT3</t>
  </si>
  <si>
    <t>Area Rooftop</t>
  </si>
  <si>
    <t>Tangga Belakang</t>
  </si>
  <si>
    <t>STATUS</t>
  </si>
  <si>
    <t>NILAI</t>
  </si>
  <si>
    <t>MINGGU</t>
  </si>
  <si>
    <t>SN 10.00</t>
  </si>
  <si>
    <t>SL 10.00</t>
  </si>
  <si>
    <t>RB 10.00</t>
  </si>
  <si>
    <t>KM 10.00</t>
  </si>
  <si>
    <t>JM 10.00</t>
  </si>
  <si>
    <t>SN 15.00</t>
  </si>
  <si>
    <t>SL 15.00</t>
  </si>
  <si>
    <t>RB 15.00</t>
  </si>
  <si>
    <t>KM 15.00</t>
  </si>
  <si>
    <t>JM 15.00</t>
  </si>
  <si>
    <t>✓</t>
  </si>
  <si>
    <t>✕</t>
  </si>
  <si>
    <t>EXCELLENT</t>
  </si>
  <si>
    <t>&gt;80</t>
  </si>
  <si>
    <t>GOOD</t>
  </si>
  <si>
    <t>61–80</t>
  </si>
  <si>
    <t>FAIR</t>
  </si>
  <si>
    <t>41–60</t>
  </si>
  <si>
    <t>POOR</t>
  </si>
  <si>
    <t>21–40</t>
  </si>
  <si>
    <t>VERY POOR</t>
  </si>
  <si>
    <t>≤20</t>
  </si>
  <si>
    <t>PENGATURAN</t>
  </si>
  <si>
    <t>Senin Minggu 1</t>
  </si>
  <si>
    <t>28 SEPTEMBER 2026 - 02 OKTOBER 2026</t>
  </si>
  <si>
    <t>QOLBY</t>
  </si>
  <si>
    <t>PARIS DAN WAWAN</t>
  </si>
  <si>
    <t>ABD. RAZAK DAN NUR MOH GHOZALI</t>
  </si>
  <si>
    <t>TANGGAL: 05 OKTOBER 2026 - 09 OKTOBER 2026</t>
  </si>
  <si>
    <t>PERIODE PEMERIKSAAN</t>
  </si>
  <si>
    <t>LOKASI</t>
  </si>
  <si>
    <t>OFFICE BOY</t>
  </si>
  <si>
    <t>Lobby</t>
  </si>
  <si>
    <t>Westafel Depan</t>
  </si>
  <si>
    <t>Perpustakaan</t>
  </si>
  <si>
    <t>Gudang</t>
  </si>
  <si>
    <t>Pantry</t>
  </si>
  <si>
    <t>Westafel Belakang</t>
  </si>
  <si>
    <t>Toilet Belakang</t>
  </si>
  <si>
    <t>Janitor</t>
  </si>
  <si>
    <t>Bawah Tangga</t>
  </si>
  <si>
    <t>Area Loker</t>
  </si>
  <si>
    <t>JAM PEMERIKSAAN: 10.00 &amp; 17.00</t>
  </si>
  <si>
    <t>17.00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</si>
</sst>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b/>
      <sz val="24"/>
      <color rgb="FFFFFFFF"/>
      <name val="Calibri"/>
      <family val="2"/>
    </font>
    <font>
      <sz val="10"/>
      <color rgb="FFFFFFFF"/>
      <name val="Calibri"/>
      <family val="2"/>
    </font>
    <font>
      <i/>
      <sz val="9"/>
      <color rgb="FFFFFFFF"/>
      <name val="Calibri"/>
      <family val="2"/>
    </font>
    <font>
      <b/>
      <sz val="11"/>
      <color rgb="FF4A1F3A"/>
      <name val="Calibri"/>
      <family val="2"/>
    </font>
    <font>
      <b/>
      <sz val="10"/>
      <color rgb="FFA1174F"/>
      <name val="Calibri"/>
      <family val="2"/>
    </font>
    <font>
      <b/>
      <sz val="26"/>
      <color rgb="FF4A1F3A"/>
      <name val="Calibri"/>
      <family val="2"/>
    </font>
    <font>
      <sz val="9"/>
      <color rgb="FF8A6F7C"/>
      <name val="Calibri"/>
      <family val="2"/>
    </font>
    <font>
      <b/>
      <sz val="22"/>
      <color rgb="FF4A1F3A"/>
      <name val="Calibri"/>
      <family val="2"/>
    </font>
    <font>
      <sz val="10"/>
      <color rgb="FF4A1F3A"/>
      <name val="Calibri"/>
      <family val="2"/>
    </font>
    <font>
      <i/>
      <sz val="9"/>
      <color rgb="FF8A6F7C"/>
      <name val="Calibri"/>
      <family val="2"/>
    </font>
    <font>
      <b/>
      <sz val="11"/>
      <color rgb="FFA1174F"/>
      <name val="Calibri"/>
      <family val="2"/>
    </font>
    <font>
      <sz val="10"/>
      <color rgb="FF555555"/>
      <name val="Calibri"/>
      <family val="2"/>
    </font>
    <font>
      <b/>
      <sz val="10"/>
      <color rgb="FFFFFFFF"/>
      <name val="Calibri"/>
      <family val="2"/>
    </font>
    <font>
      <b/>
      <sz val="12"/>
      <color theme="1"/>
      <name val="Bahnschrift"/>
      <family val="2"/>
    </font>
    <font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</font>
    <font>
      <b/>
      <sz val="11"/>
      <color rgb="FFFF0066"/>
      <name val="Calibri"/>
      <family val="2"/>
    </font>
    <font>
      <b/>
      <sz val="14"/>
      <name val="Calibri"/>
      <family val="2"/>
    </font>
    <font>
      <b/>
      <sz val="10"/>
      <color rgb="FF8A6F7C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b/>
      <sz val="18"/>
      <color theme="1"/>
      <name val="Calibri"/>
      <family val="2"/>
    </font>
    <font>
      <b/>
      <sz val="24"/>
      <color theme="1"/>
      <name val="Calibri"/>
      <family val="2"/>
    </font>
    <font>
      <i/>
      <sz val="9"/>
      <color rgb="FFFF99CC"/>
      <name val="Calibri"/>
      <family val="2"/>
    </font>
    <font>
      <b/>
      <sz val="9"/>
      <name val="Calibri"/>
      <family val="2"/>
    </font>
    <font>
      <b/>
      <sz val="9"/>
      <color rgb="FF4A1F3A"/>
      <name val="Berlin Sans FB Dem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5E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17" fillId="0" borderId="0" xfId="0" applyFont="1"/>
    <xf numFmtId="0" fontId="18" fillId="0" borderId="0" xfId="0" applyFont="1"/>
    <xf numFmtId="0" fontId="11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2" fillId="0" borderId="1" xfId="0" applyFont="1" applyBorder="1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9" fillId="4" borderId="0" xfId="0" applyFont="1" applyFill="1" applyAlignment="1">
      <alignment vertical="center" wrapText="1"/>
    </xf>
    <xf numFmtId="0" fontId="7" fillId="4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0" fillId="0" borderId="13" xfId="0" applyBorder="1" applyAlignment="1">
      <alignment vertical="center" wrapText="1"/>
    </xf>
    <xf numFmtId="0" fontId="1" fillId="3" borderId="13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 vertical="center" wrapText="1"/>
    </xf>
    <xf numFmtId="0" fontId="0" fillId="0" borderId="13" xfId="0" applyBorder="1"/>
    <xf numFmtId="0" fontId="27" fillId="3" borderId="13" xfId="0" applyFont="1" applyFill="1" applyBorder="1" applyAlignment="1">
      <alignment horizontal="center"/>
    </xf>
    <xf numFmtId="0" fontId="27" fillId="3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0" fontId="30" fillId="4" borderId="0" xfId="0" applyFont="1" applyFill="1" applyAlignment="1">
      <alignment vertical="center"/>
    </xf>
    <xf numFmtId="0" fontId="31" fillId="4" borderId="0" xfId="0" applyFont="1" applyFill="1" applyAlignment="1">
      <alignment vertical="center" wrapText="1"/>
    </xf>
    <xf numFmtId="0" fontId="33" fillId="0" borderId="0" xfId="0" applyFont="1" applyAlignment="1">
      <alignment horizontal="center" vertical="center" wrapText="1"/>
    </xf>
    <xf numFmtId="0" fontId="29" fillId="5" borderId="0" xfId="0" applyFont="1" applyFill="1" applyAlignment="1">
      <alignment horizontal="center" vertical="center"/>
    </xf>
    <xf numFmtId="0" fontId="32" fillId="5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indent="1"/>
    </xf>
    <xf numFmtId="0" fontId="13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4" fillId="5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1" fillId="2" borderId="3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0" fontId="1" fillId="2" borderId="2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0" fillId="2" borderId="6" xfId="0" applyFill="1" applyBorder="1"/>
    <xf numFmtId="0" fontId="0" fillId="2" borderId="7" xfId="0" applyFill="1" applyBorder="1"/>
    <xf numFmtId="0" fontId="2" fillId="2" borderId="5" xfId="0" applyFont="1" applyFill="1" applyBorder="1" applyAlignment="1">
      <alignment horizontal="right"/>
    </xf>
    <xf numFmtId="0" fontId="22" fillId="2" borderId="6" xfId="0" applyFont="1" applyFill="1" applyBorder="1"/>
    <xf numFmtId="0" fontId="2" fillId="2" borderId="2" xfId="0" applyFont="1" applyFill="1" applyBorder="1" applyAlignment="1">
      <alignment horizontal="right"/>
    </xf>
    <xf numFmtId="0" fontId="22" fillId="2" borderId="3" xfId="0" applyFont="1" applyFill="1" applyBorder="1"/>
    <xf numFmtId="0" fontId="1" fillId="2" borderId="7" xfId="0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/>
    <xf numFmtId="0" fontId="1" fillId="0" borderId="0" xfId="0" applyFont="1" applyAlignment="1">
      <alignment horizontal="center" vertical="center"/>
    </xf>
    <xf numFmtId="0" fontId="20" fillId="2" borderId="11" xfId="0" applyFont="1" applyFill="1" applyBorder="1" applyAlignment="1">
      <alignment horizontal="center"/>
    </xf>
    <xf numFmtId="0" fontId="21" fillId="2" borderId="11" xfId="0" applyFont="1" applyFill="1" applyBorder="1"/>
    <xf numFmtId="0" fontId="20" fillId="2" borderId="14" xfId="0" applyFont="1" applyFill="1" applyBorder="1" applyAlignment="1">
      <alignment horizontal="center"/>
    </xf>
    <xf numFmtId="0" fontId="21" fillId="2" borderId="14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left"/>
    </xf>
    <xf numFmtId="0" fontId="20" fillId="2" borderId="12" xfId="0" applyFont="1" applyFill="1" applyBorder="1" applyAlignment="1">
      <alignment horizontal="center"/>
    </xf>
    <xf numFmtId="0" fontId="21" fillId="2" borderId="12" xfId="0" applyFont="1" applyFill="1" applyBorder="1"/>
    <xf numFmtId="0" fontId="3" fillId="2" borderId="6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right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left"/>
    </xf>
    <xf numFmtId="0" fontId="0" fillId="0" borderId="3" xfId="0" applyBorder="1"/>
    <xf numFmtId="0" fontId="0" fillId="0" borderId="4" xfId="0" applyBorder="1"/>
    <xf numFmtId="0" fontId="1" fillId="0" borderId="1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0" fillId="0" borderId="6" xfId="0" applyBorder="1"/>
    <xf numFmtId="0" fontId="3" fillId="0" borderId="8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/>
  </cellXfs>
  <cellStyles count="1">
    <cellStyle name="Normal" xfId="0" builtinId="0"/>
  </cellStyles>
  <dxfs count="10">
    <dxf>
      <font>
        <b/>
        <color rgb="FFA3122E"/>
        <name val="Calibri"/>
      </font>
      <fill>
        <patternFill patternType="solid">
          <fgColor rgb="FFF9C9D2"/>
        </patternFill>
      </fill>
    </dxf>
    <dxf>
      <font>
        <b/>
        <color rgb="FFA34A00"/>
        <name val="Calibri"/>
      </font>
      <fill>
        <patternFill patternType="solid">
          <fgColor rgb="FFFFDCC2"/>
        </patternFill>
      </fill>
    </dxf>
    <dxf>
      <font>
        <b/>
        <color rgb="FF8A6100"/>
        <name val="Calibri"/>
      </font>
      <fill>
        <patternFill patternType="solid">
          <fgColor rgb="FFFFF1C9"/>
        </patternFill>
      </fill>
    </dxf>
    <dxf>
      <font>
        <b/>
        <color rgb="FF3B7A1E"/>
        <name val="Calibri"/>
      </font>
      <fill>
        <patternFill patternType="solid">
          <fgColor rgb="FFE3F2D0"/>
        </patternFill>
      </fill>
    </dxf>
    <dxf>
      <font>
        <b/>
        <color rgb="FF0B6E5A"/>
        <name val="Calibri"/>
      </font>
      <fill>
        <patternFill patternType="solid">
          <fgColor rgb="FFCDEFE5"/>
        </patternFill>
      </fill>
    </dxf>
    <dxf>
      <font>
        <b/>
        <color rgb="FFA3122E"/>
        <name val="Calibri"/>
      </font>
      <fill>
        <patternFill patternType="solid">
          <fgColor rgb="FFF9C9D2"/>
        </patternFill>
      </fill>
    </dxf>
    <dxf>
      <font>
        <b/>
        <color rgb="FFA34A00"/>
        <name val="Calibri"/>
      </font>
      <fill>
        <patternFill patternType="solid">
          <fgColor rgb="FFFFDCC2"/>
        </patternFill>
      </fill>
    </dxf>
    <dxf>
      <font>
        <b/>
        <color rgb="FF8A6100"/>
        <name val="Calibri"/>
      </font>
      <fill>
        <patternFill patternType="solid">
          <fgColor rgb="FFFFF1C9"/>
        </patternFill>
      </fill>
    </dxf>
    <dxf>
      <font>
        <b/>
        <color rgb="FF3B7A1E"/>
        <name val="Calibri"/>
      </font>
      <fill>
        <patternFill patternType="solid">
          <fgColor rgb="FFE3F2D0"/>
        </patternFill>
      </fill>
    </dxf>
    <dxf>
      <font>
        <b/>
        <color rgb="FF0B6E5A"/>
        <name val="Calibri"/>
      </font>
      <fill>
        <patternFill patternType="solid">
          <fgColor rgb="FFCDEFE5"/>
        </patternFill>
      </fill>
    </dxf>
  </dxfs>
  <tableStyles count="0" defaultTableStyle="TableStyleMedium2" defaultPivotStyle="PivotStyleLight16"/>
  <colors>
    <mruColors>
      <color rgb="FFFFC5E2"/>
      <color rgb="FFFF99CC"/>
      <color rgb="FFFF66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DASHBOARD!$AD$15</c:f>
              <c:strCache>
                <c:ptCount val="1"/>
                <c:pt idx="0">
                  <c:v>Lantai 1</c:v>
                </c:pt>
              </c:strCache>
            </c:strRef>
          </c:tx>
          <c:spPr>
            <a:solidFill>
              <a:srgbClr val="E8467C"/>
            </a:solidFill>
            <a:ln>
              <a:solidFill>
                <a:srgbClr val="E8467C"/>
              </a:solidFill>
              <a:prstDash val="solid"/>
            </a:ln>
          </c:spPr>
          <c:invertIfNegative val="0"/>
          <c:cat>
            <c:strRef>
              <c:f>DASHBOARD!$AC$16:$AC$23</c:f>
              <c:strCache>
                <c:ptCount val="1"/>
                <c:pt idx="0">
                  <c:v>Minggu 1</c:v>
                </c:pt>
              </c:strCache>
            </c:strRef>
          </c:cat>
          <c:val>
            <c:numRef>
              <c:f>DASHBOARD!$AD$16:$AD$23</c:f>
              <c:numCache>
                <c:formatCode>General</c:formatCode>
                <c:ptCount val="8"/>
                <c:pt idx="0">
                  <c:v>72.5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D-4077-AC04-17D63647B416}"/>
            </c:ext>
          </c:extLst>
        </c:ser>
        <c:ser>
          <c:idx val="1"/>
          <c:order val="1"/>
          <c:tx>
            <c:strRef>
              <c:f>DASHBOARD!$AE$15</c:f>
              <c:strCache>
                <c:ptCount val="1"/>
                <c:pt idx="0">
                  <c:v>Lantai 2</c:v>
                </c:pt>
              </c:strCache>
            </c:strRef>
          </c:tx>
          <c:spPr>
            <a:solidFill>
              <a:srgbClr val="A1174F"/>
            </a:solidFill>
            <a:ln>
              <a:solidFill>
                <a:srgbClr val="A1174F"/>
              </a:solidFill>
              <a:prstDash val="solid"/>
            </a:ln>
          </c:spPr>
          <c:invertIfNegative val="0"/>
          <c:cat>
            <c:strRef>
              <c:f>DASHBOARD!$AC$16:$AC$23</c:f>
              <c:strCache>
                <c:ptCount val="1"/>
                <c:pt idx="0">
                  <c:v>Minggu 1</c:v>
                </c:pt>
              </c:strCache>
            </c:strRef>
          </c:cat>
          <c:val>
            <c:numRef>
              <c:f>DASHBOARD!$AE$16:$AE$23</c:f>
              <c:numCache>
                <c:formatCode>General</c:formatCode>
                <c:ptCount val="8"/>
                <c:pt idx="0">
                  <c:v>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0D-4077-AC04-17D63647B416}"/>
            </c:ext>
          </c:extLst>
        </c:ser>
        <c:ser>
          <c:idx val="2"/>
          <c:order val="2"/>
          <c:tx>
            <c:strRef>
              <c:f>DASHBOARD!$AF$15</c:f>
              <c:strCache>
                <c:ptCount val="1"/>
                <c:pt idx="0">
                  <c:v>Lantai 3</c:v>
                </c:pt>
              </c:strCache>
            </c:strRef>
          </c:tx>
          <c:spPr>
            <a:solidFill>
              <a:srgbClr val="F28BAE"/>
            </a:solidFill>
            <a:ln>
              <a:solidFill>
                <a:srgbClr val="F28BAE"/>
              </a:solidFill>
              <a:prstDash val="solid"/>
            </a:ln>
          </c:spPr>
          <c:invertIfNegative val="0"/>
          <c:cat>
            <c:strRef>
              <c:f>DASHBOARD!$AC$16:$AC$23</c:f>
              <c:strCache>
                <c:ptCount val="1"/>
                <c:pt idx="0">
                  <c:v>Minggu 1</c:v>
                </c:pt>
              </c:strCache>
            </c:strRef>
          </c:cat>
          <c:val>
            <c:numRef>
              <c:f>DASHBOARD!$AF$16:$AF$23</c:f>
              <c:numCache>
                <c:formatCode>General</c:formatCode>
                <c:ptCount val="8"/>
                <c:pt idx="0">
                  <c:v>90.5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0D-4077-AC04-17D63647B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"/>
        <c:axId val="10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solidFill>
              <a:srgbClr val="E5B8CB"/>
            </a:solidFill>
            <a:prstDash val="solid"/>
          </a:ln>
        </c:spPr>
        <c:txPr>
          <a:bodyPr/>
          <a:lstStyle/>
          <a:p>
            <a:pPr>
              <a:defRPr sz="900" b="0">
                <a:solidFill>
                  <a:srgbClr val="6B5560"/>
                </a:solidFill>
                <a:latin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rgbClr val="F6DCE7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900" b="0">
                <a:solidFill>
                  <a:srgbClr val="6B5560"/>
                </a:solidFill>
                <a:latin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  <a:prstDash val="solid"/>
        </a:ln>
      </c:spPr>
    </c:plotArea>
    <c:legend>
      <c:legendPos val="b"/>
      <c:overlay val="1"/>
      <c:txPr>
        <a:bodyPr/>
        <a:lstStyle/>
        <a:p>
          <a:pPr>
            <a:defRPr sz="900" b="0">
              <a:solidFill>
                <a:srgbClr val="6B556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doughnutChart>
        <c:varyColors val="1"/>
        <c:ser>
          <c:idx val="0"/>
          <c:order val="0"/>
          <c:tx>
            <c:strRef>
              <c:f>DASHBOARD!$AB$34</c:f>
              <c:strCache>
                <c:ptCount val="1"/>
                <c:pt idx="0">
                  <c:v>Jumlah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E8467C"/>
              </a:soli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A32-4468-90D2-C4A22B2A9833}"/>
              </c:ext>
            </c:extLst>
          </c:dPt>
          <c:dPt>
            <c:idx val="1"/>
            <c:bubble3D val="0"/>
            <c:spPr>
              <a:solidFill>
                <a:srgbClr val="3D2B38"/>
              </a:soli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A32-4468-90D2-C4A22B2A9833}"/>
              </c:ext>
            </c:extLst>
          </c:dPt>
          <c:dPt>
            <c:idx val="2"/>
            <c:bubble3D val="0"/>
            <c:spPr>
              <a:solidFill>
                <a:srgbClr val="F28BAE"/>
              </a:soli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A32-4468-90D2-C4A22B2A98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>
                    <a:solidFill>
                      <a:srgbClr val="FFFFFF"/>
                    </a:solidFill>
                    <a:latin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DASHBOARD!$AA$35:$AA$37</c:f>
              <c:strCache>
                <c:ptCount val="3"/>
                <c:pt idx="0">
                  <c:v>Bersih</c:v>
                </c:pt>
                <c:pt idx="1">
                  <c:v>Tidak bersih</c:v>
                </c:pt>
                <c:pt idx="2">
                  <c:v>Belum diisi</c:v>
                </c:pt>
              </c:strCache>
            </c:strRef>
          </c:cat>
          <c:val>
            <c:numRef>
              <c:f>DASHBOARD!$AB$35:$AB$37</c:f>
              <c:numCache>
                <c:formatCode>General</c:formatCode>
                <c:ptCount val="3"/>
                <c:pt idx="0">
                  <c:v>484</c:v>
                </c:pt>
                <c:pt idx="1">
                  <c:v>86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32-4468-90D2-C4A22B2A9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0"/>
      </c:doughnutChart>
      <c:spPr>
        <a:noFill/>
        <a:ln>
          <a:noFill/>
          <a:prstDash val="solid"/>
        </a:ln>
      </c:spPr>
    </c:plotArea>
    <c:legend>
      <c:legendPos val="b"/>
      <c:overlay val="1"/>
      <c:txPr>
        <a:bodyPr/>
        <a:lstStyle/>
        <a:p>
          <a:pPr>
            <a:defRPr sz="900" b="0">
              <a:solidFill>
                <a:srgbClr val="6B556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DASHBOARD!$AD$40</c:f>
              <c:strCache>
                <c:ptCount val="1"/>
                <c:pt idx="0">
                  <c:v>Skor</c:v>
                </c:pt>
              </c:strCache>
            </c:strRef>
          </c:tx>
          <c:spPr>
            <a:solidFill>
              <a:srgbClr val="E8467C"/>
            </a:solidFill>
            <a:ln>
              <a:solidFill>
                <a:srgbClr val="E8467C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solidFill>
                      <a:srgbClr val="4A1F3A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DASHBOARD!$AC$41:$AC$50</c:f>
              <c:strCache>
                <c:ptCount val="10"/>
                <c:pt idx="0">
                  <c:v>L2 · Ruang Arsip</c:v>
                </c:pt>
                <c:pt idx="1">
                  <c:v>L1 · Toilet Belakang</c:v>
                </c:pt>
                <c:pt idx="2">
                  <c:v>L2 · Toilet</c:v>
                </c:pt>
                <c:pt idx="3">
                  <c:v>L1 · Perpustakaan</c:v>
                </c:pt>
                <c:pt idx="4">
                  <c:v>L2 · Tangga Depan</c:v>
                </c:pt>
                <c:pt idx="5">
                  <c:v>L2 · Balkon</c:v>
                </c:pt>
                <c:pt idx="6">
                  <c:v>L1 · Bawah Tangga</c:v>
                </c:pt>
                <c:pt idx="7">
                  <c:v>L2 · Ruang Tender</c:v>
                </c:pt>
                <c:pt idx="8">
                  <c:v>L3 · Jendela Kaca</c:v>
                </c:pt>
                <c:pt idx="9">
                  <c:v>L3 · Sink</c:v>
                </c:pt>
              </c:strCache>
            </c:strRef>
          </c:cat>
          <c:val>
            <c:numRef>
              <c:f>DASHBOARD!$AD$41:$AD$50</c:f>
              <c:numCache>
                <c:formatCode>General</c:formatCode>
                <c:ptCount val="10"/>
                <c:pt idx="0">
                  <c:v>0.5</c:v>
                </c:pt>
                <c:pt idx="1">
                  <c:v>2</c:v>
                </c:pt>
                <c:pt idx="2">
                  <c:v>2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E-424C-AEB1-BA385E8D4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10"/>
        <c:axId val="100"/>
      </c:barChart>
      <c:catAx>
        <c:axId val="1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525">
            <a:solidFill>
              <a:srgbClr val="E5B8CB"/>
            </a:solidFill>
            <a:prstDash val="solid"/>
          </a:ln>
        </c:spPr>
        <c:txPr>
          <a:bodyPr/>
          <a:lstStyle/>
          <a:p>
            <a:pPr>
              <a:defRPr sz="900" b="0">
                <a:solidFill>
                  <a:srgbClr val="6B5560"/>
                </a:solidFill>
                <a:latin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5.5"/>
          <c:min val="0"/>
        </c:scaling>
        <c:delete val="1"/>
        <c:axPos val="t"/>
        <c:numFmt formatCode="0.0" sourceLinked="0"/>
        <c:majorTickMark val="none"/>
        <c:minorTickMark val="none"/>
        <c:tickLblPos val="nextTo"/>
        <c:crossAx val="10"/>
        <c:crosses val="autoZero"/>
        <c:crossBetween val="between"/>
      </c:valAx>
      <c:spPr>
        <a:noFill/>
        <a:ln>
          <a:noFill/>
          <a:prstDash val="solid"/>
        </a:ln>
      </c:spPr>
    </c:plotArea>
    <c:plotVisOnly val="1"/>
    <c:dispBlanksAs val="gap"/>
    <c:showDLblsOverMax val="1"/>
  </c:chart>
  <c:spPr>
    <a:solidFill>
      <a:srgbClr val="FFFFFF"/>
    </a:solidFill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DASHBOARD!$AF$8</c:f>
              <c:strCache>
                <c:ptCount val="1"/>
                <c:pt idx="0">
                  <c:v>Skor</c:v>
                </c:pt>
              </c:strCache>
            </c:strRef>
          </c:tx>
          <c:spPr>
            <a:solidFill>
              <a:srgbClr val="E8467C"/>
            </a:solidFill>
            <a:ln>
              <a:solidFill>
                <a:srgbClr val="E8467C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solidFill>
                      <a:srgbClr val="4A1F3A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DASHBOARD!$AA$9:$AA$11</c:f>
              <c:strCache>
                <c:ptCount val="3"/>
                <c:pt idx="0">
                  <c:v>LANTAI 1</c:v>
                </c:pt>
                <c:pt idx="1">
                  <c:v>LANTAI 2</c:v>
                </c:pt>
                <c:pt idx="2">
                  <c:v>LANTAI 3</c:v>
                </c:pt>
              </c:strCache>
            </c:strRef>
          </c:cat>
          <c:val>
            <c:numRef>
              <c:f>DASHBOARD!$AF$9:$AF$11</c:f>
              <c:numCache>
                <c:formatCode>General</c:formatCode>
                <c:ptCount val="3"/>
                <c:pt idx="0">
                  <c:v>72.5</c:v>
                </c:pt>
                <c:pt idx="1">
                  <c:v>79</c:v>
                </c:pt>
                <c:pt idx="2">
                  <c:v>90.5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B9-4F71-800C-FB5583B7BCBC}"/>
            </c:ext>
          </c:extLst>
        </c:ser>
        <c:ser>
          <c:idx val="1"/>
          <c:order val="1"/>
          <c:tx>
            <c:strRef>
              <c:f>DASHBOARD!$AG$8</c:f>
              <c:strCache>
                <c:ptCount val="1"/>
                <c:pt idx="0">
                  <c:v>Skor maksimal</c:v>
                </c:pt>
              </c:strCache>
            </c:strRef>
          </c:tx>
          <c:spPr>
            <a:solidFill>
              <a:srgbClr val="F8C8DA"/>
            </a:solidFill>
            <a:ln>
              <a:solidFill>
                <a:srgbClr val="F8C8DA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="1">
                    <a:solidFill>
                      <a:srgbClr val="4A1F3A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DASHBOARD!$AA$9:$AA$11</c:f>
              <c:strCache>
                <c:ptCount val="3"/>
                <c:pt idx="0">
                  <c:v>LANTAI 1</c:v>
                </c:pt>
                <c:pt idx="1">
                  <c:v>LANTAI 2</c:v>
                </c:pt>
                <c:pt idx="2">
                  <c:v>LANTAI 3</c:v>
                </c:pt>
              </c:strCache>
            </c:strRef>
          </c:cat>
          <c:val>
            <c:numRef>
              <c:f>DASHBOARD!$AG$9:$AG$11</c:f>
              <c:numCache>
                <c:formatCode>General</c:formatCode>
                <c:ptCount val="3"/>
                <c:pt idx="0">
                  <c:v>85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B9-4F71-800C-FB5583B7B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overlay val="0"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9525">
            <a:solidFill>
              <a:srgbClr val="E5B8CB"/>
            </a:solidFill>
            <a:prstDash val="solid"/>
          </a:ln>
        </c:spPr>
        <c:txPr>
          <a:bodyPr/>
          <a:lstStyle/>
          <a:p>
            <a:pPr>
              <a:defRPr sz="900" b="0">
                <a:solidFill>
                  <a:srgbClr val="6B5560"/>
                </a:solidFill>
                <a:latin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majorGridlines>
          <c:spPr>
            <a:ln w="6350">
              <a:solidFill>
                <a:srgbClr val="F6DCE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ID"/>
                  <a:t>Persentase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900" b="0">
                <a:solidFill>
                  <a:srgbClr val="6B5560"/>
                </a:solidFill>
                <a:latin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0.37642294890914663"/>
          <c:y val="0.8854346328195829"/>
          <c:w val="0.26722284224353338"/>
          <c:h val="7.7720398912058022E-2"/>
        </c:manualLayout>
      </c:layout>
      <c:overlay val="1"/>
      <c:txPr>
        <a:bodyPr/>
        <a:lstStyle/>
        <a:p>
          <a:pPr>
            <a:defRPr sz="900" b="0">
              <a:solidFill>
                <a:srgbClr val="6B556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tx>
            <c:strRef>
              <c:f>DASHBOARD!$AB$26</c:f>
              <c:strCache>
                <c:ptCount val="1"/>
                <c:pt idx="0">
                  <c:v>Lantai 1</c:v>
                </c:pt>
              </c:strCache>
            </c:strRef>
          </c:tx>
          <c:spPr>
            <a:ln w="28575">
              <a:solidFill>
                <a:srgbClr val="E8467C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E8467C"/>
              </a:solidFill>
              <a:ln w="9525">
                <a:solidFill>
                  <a:srgbClr val="FFFFFF"/>
                </a:solidFill>
                <a:prstDash val="solid"/>
              </a:ln>
            </c:spPr>
          </c:marker>
          <c:cat>
            <c:strRef>
              <c:f>DASHBOARD!$AA$27:$AA$31</c:f>
              <c:strCache>
                <c:ptCount val="5"/>
                <c:pt idx="0">
                  <c:v>Senin</c:v>
                </c:pt>
                <c:pt idx="1">
                  <c:v>Selasa</c:v>
                </c:pt>
                <c:pt idx="2">
                  <c:v>Rabu</c:v>
                </c:pt>
                <c:pt idx="3">
                  <c:v>Kamis</c:v>
                </c:pt>
                <c:pt idx="4">
                  <c:v>Jumat</c:v>
                </c:pt>
              </c:strCache>
            </c:strRef>
          </c:cat>
          <c:val>
            <c:numRef>
              <c:f>DASHBOARD!$AB$27:$AB$31</c:f>
              <c:numCache>
                <c:formatCode>General</c:formatCode>
                <c:ptCount val="5"/>
                <c:pt idx="0">
                  <c:v>0.88235294117647056</c:v>
                </c:pt>
                <c:pt idx="1">
                  <c:v>0.73529411764705888</c:v>
                </c:pt>
                <c:pt idx="2">
                  <c:v>0.88235294117647056</c:v>
                </c:pt>
                <c:pt idx="3">
                  <c:v>0.8529411764705882</c:v>
                </c:pt>
                <c:pt idx="4">
                  <c:v>0.91176470588235292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1-4AEB-953D-B96384A07EFB}"/>
            </c:ext>
          </c:extLst>
        </c:ser>
        <c:ser>
          <c:idx val="1"/>
          <c:order val="1"/>
          <c:tx>
            <c:strRef>
              <c:f>DASHBOARD!$AC$26</c:f>
              <c:strCache>
                <c:ptCount val="1"/>
                <c:pt idx="0">
                  <c:v>Lantai 2</c:v>
                </c:pt>
              </c:strCache>
            </c:strRef>
          </c:tx>
          <c:spPr>
            <a:ln w="28575">
              <a:solidFill>
                <a:srgbClr val="A1174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A1174F"/>
              </a:solidFill>
              <a:ln w="9525">
                <a:solidFill>
                  <a:srgbClr val="FFFFFF"/>
                </a:solidFill>
                <a:prstDash val="solid"/>
              </a:ln>
            </c:spPr>
          </c:marker>
          <c:cat>
            <c:strRef>
              <c:f>DASHBOARD!$AA$27:$AA$31</c:f>
              <c:strCache>
                <c:ptCount val="5"/>
                <c:pt idx="0">
                  <c:v>Senin</c:v>
                </c:pt>
                <c:pt idx="1">
                  <c:v>Selasa</c:v>
                </c:pt>
                <c:pt idx="2">
                  <c:v>Rabu</c:v>
                </c:pt>
                <c:pt idx="3">
                  <c:v>Kamis</c:v>
                </c:pt>
                <c:pt idx="4">
                  <c:v>Jumat</c:v>
                </c:pt>
              </c:strCache>
            </c:strRef>
          </c:cat>
          <c:val>
            <c:numRef>
              <c:f>DASHBOARD!$AC$27:$AC$31</c:f>
              <c:numCache>
                <c:formatCode>General</c:formatCode>
                <c:ptCount val="5"/>
                <c:pt idx="0">
                  <c:v>0.9</c:v>
                </c:pt>
                <c:pt idx="1">
                  <c:v>0.75</c:v>
                </c:pt>
                <c:pt idx="2">
                  <c:v>0.77500000000000002</c:v>
                </c:pt>
                <c:pt idx="3">
                  <c:v>0.72499999999999998</c:v>
                </c:pt>
                <c:pt idx="4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1-4AEB-953D-B96384A07EFB}"/>
            </c:ext>
          </c:extLst>
        </c:ser>
        <c:ser>
          <c:idx val="2"/>
          <c:order val="2"/>
          <c:tx>
            <c:strRef>
              <c:f>DASHBOARD!$AD$26</c:f>
              <c:strCache>
                <c:ptCount val="1"/>
                <c:pt idx="0">
                  <c:v>Lantai 3</c:v>
                </c:pt>
              </c:strCache>
            </c:strRef>
          </c:tx>
          <c:spPr>
            <a:ln w="28575">
              <a:solidFill>
                <a:srgbClr val="F28BAE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28BAE"/>
              </a:solidFill>
              <a:ln w="9525">
                <a:solidFill>
                  <a:srgbClr val="FFFFFF"/>
                </a:solidFill>
                <a:prstDash val="solid"/>
              </a:ln>
            </c:spPr>
          </c:marker>
          <c:cat>
            <c:strRef>
              <c:f>DASHBOARD!$AA$27:$AA$31</c:f>
              <c:strCache>
                <c:ptCount val="5"/>
                <c:pt idx="0">
                  <c:v>Senin</c:v>
                </c:pt>
                <c:pt idx="1">
                  <c:v>Selasa</c:v>
                </c:pt>
                <c:pt idx="2">
                  <c:v>Rabu</c:v>
                </c:pt>
                <c:pt idx="3">
                  <c:v>Kamis</c:v>
                </c:pt>
                <c:pt idx="4">
                  <c:v>Jumat</c:v>
                </c:pt>
              </c:strCache>
            </c:strRef>
          </c:cat>
          <c:val>
            <c:numRef>
              <c:f>DASHBOARD!$AD$27:$AD$31</c:f>
              <c:numCache>
                <c:formatCode>General</c:formatCode>
                <c:ptCount val="5"/>
                <c:pt idx="0">
                  <c:v>0.875</c:v>
                </c:pt>
                <c:pt idx="1">
                  <c:v>0.92500000000000004</c:v>
                </c:pt>
                <c:pt idx="2">
                  <c:v>0.92500000000000004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21-4AEB-953D-B96384A07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D">
                    <a:solidFill>
                      <a:schemeClr val="bg1"/>
                    </a:solidFill>
                  </a:rPr>
                  <a:t>Axis Title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>
            <a:solidFill>
              <a:srgbClr val="E5B8CB"/>
            </a:solidFill>
            <a:prstDash val="solid"/>
          </a:ln>
        </c:spPr>
        <c:txPr>
          <a:bodyPr/>
          <a:lstStyle/>
          <a:p>
            <a:pPr>
              <a:defRPr sz="900" b="0">
                <a:solidFill>
                  <a:srgbClr val="6B5560"/>
                </a:solidFill>
                <a:latin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1"/>
          <c:min val="0"/>
        </c:scaling>
        <c:delete val="0"/>
        <c:axPos val="l"/>
        <c:majorGridlines>
          <c:spPr>
            <a:ln w="6350">
              <a:solidFill>
                <a:srgbClr val="F6DCE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ID"/>
                  <a:t>Persentase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>
              <a:defRPr sz="900" b="0">
                <a:solidFill>
                  <a:srgbClr val="6B5560"/>
                </a:solidFill>
                <a:latin typeface="Calibri"/>
              </a:defRPr>
            </a:pPr>
            <a:endParaRPr lang="en-US"/>
          </a:p>
        </c:txPr>
        <c:crossAx val="10"/>
        <c:crosses val="autoZero"/>
        <c:crossBetween val="between"/>
        <c:majorUnit val="0.2"/>
      </c:valAx>
      <c:spPr>
        <a:noFill/>
        <a:ln>
          <a:noFill/>
          <a:prstDash val="solid"/>
        </a:ln>
      </c:spPr>
    </c:plotArea>
    <c:legend>
      <c:legendPos val="b"/>
      <c:layout>
        <c:manualLayout>
          <c:xMode val="edge"/>
          <c:yMode val="edge"/>
          <c:x val="0.322714834318302"/>
          <c:y val="0.8854346328195829"/>
          <c:w val="0.37014586734732985"/>
          <c:h val="7.7720398912058022E-2"/>
        </c:manualLayout>
      </c:layout>
      <c:overlay val="1"/>
      <c:txPr>
        <a:bodyPr/>
        <a:lstStyle/>
        <a:p>
          <a:pPr>
            <a:defRPr sz="900" b="0">
              <a:solidFill>
                <a:srgbClr val="6B556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50000</xdr:colOff>
      <xdr:row>12</xdr:row>
      <xdr:rowOff>50000</xdr:rowOff>
    </xdr:from>
    <xdr:to>
      <xdr:col>8</xdr:col>
      <xdr:colOff>800</xdr:colOff>
      <xdr:row>26</xdr:row>
      <xdr:rowOff>140500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50000</xdr:colOff>
      <xdr:row>12</xdr:row>
      <xdr:rowOff>50000</xdr:rowOff>
    </xdr:from>
    <xdr:to>
      <xdr:col>12</xdr:col>
      <xdr:colOff>800</xdr:colOff>
      <xdr:row>26</xdr:row>
      <xdr:rowOff>140500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50000</xdr:colOff>
      <xdr:row>12</xdr:row>
      <xdr:rowOff>50000</xdr:rowOff>
    </xdr:from>
    <xdr:to>
      <xdr:col>17</xdr:col>
      <xdr:colOff>800</xdr:colOff>
      <xdr:row>26</xdr:row>
      <xdr:rowOff>140500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50000</xdr:colOff>
      <xdr:row>36</xdr:row>
      <xdr:rowOff>50000</xdr:rowOff>
    </xdr:from>
    <xdr:to>
      <xdr:col>8</xdr:col>
      <xdr:colOff>800</xdr:colOff>
      <xdr:row>50</xdr:row>
      <xdr:rowOff>140500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50000</xdr:colOff>
      <xdr:row>36</xdr:row>
      <xdr:rowOff>50000</xdr:rowOff>
    </xdr:from>
    <xdr:to>
      <xdr:col>17</xdr:col>
      <xdr:colOff>800</xdr:colOff>
      <xdr:row>50</xdr:row>
      <xdr:rowOff>140500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10467</xdr:colOff>
      <xdr:row>4</xdr:row>
      <xdr:rowOff>20934</xdr:rowOff>
    </xdr:from>
    <xdr:to>
      <xdr:col>16</xdr:col>
      <xdr:colOff>31401</xdr:colOff>
      <xdr:row>6</xdr:row>
      <xdr:rowOff>20934</xdr:rowOff>
    </xdr:to>
    <xdr:sp macro="[0]!SimpanKeMaster" textlink="">
      <xdr:nvSpPr>
        <xdr:cNvPr id="2" name="Rectangle 1">
          <a:extLst>
            <a:ext uri="{FF2B5EF4-FFF2-40B4-BE49-F238E27FC236}">
              <a16:creationId xmlns:a16="http://schemas.microsoft.com/office/drawing/2014/main" id="{2A6A32D6-7980-4F0B-A3C5-3ACE7CEE3F6A}"/>
            </a:ext>
          </a:extLst>
        </xdr:cNvPr>
        <xdr:cNvSpPr/>
      </xdr:nvSpPr>
      <xdr:spPr>
        <a:xfrm>
          <a:off x="8593434" y="816429"/>
          <a:ext cx="1235110" cy="387280"/>
        </a:xfrm>
        <a:prstGeom prst="rect">
          <a:avLst/>
        </a:prstGeom>
        <a:solidFill>
          <a:srgbClr val="FF66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latin typeface="Berlin Sans FB Demi" panose="020E0802020502020306" pitchFamily="34" charset="0"/>
            </a:rPr>
            <a:t>SIMPAN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0</xdr:rowOff>
    </xdr:from>
    <xdr:to>
      <xdr:col>16</xdr:col>
      <xdr:colOff>20934</xdr:colOff>
      <xdr:row>5</xdr:row>
      <xdr:rowOff>188407</xdr:rowOff>
    </xdr:to>
    <xdr:sp macro="[0]!SimpanKeMaster" textlink="">
      <xdr:nvSpPr>
        <xdr:cNvPr id="2" name="Rectangle 1">
          <a:extLst>
            <a:ext uri="{FF2B5EF4-FFF2-40B4-BE49-F238E27FC236}">
              <a16:creationId xmlns:a16="http://schemas.microsoft.com/office/drawing/2014/main" id="{93A79169-935A-465D-99E3-0C96E2323352}"/>
            </a:ext>
          </a:extLst>
        </xdr:cNvPr>
        <xdr:cNvSpPr/>
      </xdr:nvSpPr>
      <xdr:spPr>
        <a:xfrm>
          <a:off x="8582967" y="795495"/>
          <a:ext cx="1235110" cy="387280"/>
        </a:xfrm>
        <a:prstGeom prst="rect">
          <a:avLst/>
        </a:prstGeom>
        <a:solidFill>
          <a:srgbClr val="FF66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/>
            <a:t>SIMPAN</a:t>
          </a:r>
          <a:endParaRPr lang="en-ID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0</xdr:rowOff>
    </xdr:from>
    <xdr:to>
      <xdr:col>16</xdr:col>
      <xdr:colOff>20934</xdr:colOff>
      <xdr:row>5</xdr:row>
      <xdr:rowOff>188407</xdr:rowOff>
    </xdr:to>
    <xdr:sp macro="[0]!SimpanKeMaster" textlink="">
      <xdr:nvSpPr>
        <xdr:cNvPr id="2" name="Rectangle 1">
          <a:extLst>
            <a:ext uri="{FF2B5EF4-FFF2-40B4-BE49-F238E27FC236}">
              <a16:creationId xmlns:a16="http://schemas.microsoft.com/office/drawing/2014/main" id="{CC2E953B-4FCE-46B8-A42F-EA4A55942ECE}"/>
            </a:ext>
          </a:extLst>
        </xdr:cNvPr>
        <xdr:cNvSpPr/>
      </xdr:nvSpPr>
      <xdr:spPr>
        <a:xfrm>
          <a:off x="8582967" y="795495"/>
          <a:ext cx="1235110" cy="376813"/>
        </a:xfrm>
        <a:prstGeom prst="rect">
          <a:avLst/>
        </a:prstGeom>
        <a:solidFill>
          <a:srgbClr val="FF66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/>
            <a:t>SIMPAN</a:t>
          </a:r>
          <a:endParaRPr lang="en-ID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E8467C"/>
    <pageSetUpPr fitToPage="1"/>
  </sheetPr>
  <dimension ref="B1:AM110"/>
  <sheetViews>
    <sheetView showGridLines="0" tabSelected="1" zoomScale="106" zoomScaleNormal="106" workbookViewId="0">
      <selection activeCell="D33" sqref="D33:H33"/>
    </sheetView>
  </sheetViews>
  <sheetFormatPr defaultRowHeight="15" x14ac:dyDescent="0.25"/>
  <cols>
    <col min="1" max="1" width="2" customWidth="1"/>
    <col min="2" max="17" width="11" customWidth="1"/>
    <col min="18" max="18" width="2" customWidth="1"/>
    <col min="27" max="27" width="26" customWidth="1"/>
    <col min="28" max="28" width="14" customWidth="1"/>
    <col min="29" max="29" width="22" customWidth="1"/>
    <col min="30" max="35" width="14" customWidth="1"/>
    <col min="36" max="36" width="34" customWidth="1"/>
    <col min="37" max="39" width="14" customWidth="1"/>
  </cols>
  <sheetData>
    <row r="1" spans="2:39" x14ac:dyDescent="0.25">
      <c r="AA1" s="3" t="s">
        <v>0</v>
      </c>
    </row>
    <row r="2" spans="2:39" ht="32.1" customHeight="1" x14ac:dyDescent="0.25">
      <c r="B2" s="28" t="s">
        <v>1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29" t="s">
        <v>2</v>
      </c>
      <c r="O2" s="16"/>
      <c r="P2" s="16"/>
      <c r="Q2" s="16"/>
    </row>
    <row r="3" spans="2:39" ht="20.100000000000001" customHeight="1" x14ac:dyDescent="0.25">
      <c r="B3" s="31" t="s">
        <v>3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AA3" s="4" t="s">
        <v>4</v>
      </c>
      <c r="AB3" s="4">
        <f>IFERROR(VALUE(SUBSTITUTE(TRIM($D$6),"Minggu ","")),1)</f>
        <v>1</v>
      </c>
    </row>
    <row r="4" spans="2:39" x14ac:dyDescent="0.25">
      <c r="B4" s="14" t="s">
        <v>5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5"/>
      <c r="O4" s="15"/>
      <c r="P4" s="15"/>
      <c r="Q4" s="15"/>
      <c r="AA4" s="4" t="s">
        <v>6</v>
      </c>
      <c r="AB4" s="4">
        <f>MAX('MASTER DATA'!$D$2:$D$5000)</f>
        <v>1</v>
      </c>
    </row>
    <row r="5" spans="2:39" x14ac:dyDescent="0.25">
      <c r="AA5" s="4" t="s">
        <v>7</v>
      </c>
      <c r="AB5" s="4">
        <f>'MASTER DATA'!$B$13+7*($AB$3-1)</f>
        <v>46293</v>
      </c>
    </row>
    <row r="6" spans="2:39" ht="27.95" customHeight="1" x14ac:dyDescent="0.25">
      <c r="B6" s="32" t="s">
        <v>8</v>
      </c>
      <c r="C6" s="32"/>
      <c r="D6" s="35" t="s">
        <v>9</v>
      </c>
      <c r="E6" s="35"/>
      <c r="F6" s="32" t="s">
        <v>10</v>
      </c>
      <c r="G6" s="32"/>
      <c r="H6" s="36" t="str">
        <f>IFERROR(PROPER(INDEX('MASTER DATA'!$E$2:$E$5000,MATCH($AB$3,'MASTER DATA'!$D$2:$D$5000,0))),$AB$7)</f>
        <v>28 September 2026 - 02 Oktober 2026</v>
      </c>
      <c r="I6" s="36"/>
      <c r="J6" s="36"/>
      <c r="K6" s="36"/>
      <c r="L6" s="36"/>
      <c r="M6" s="32" t="s">
        <v>11</v>
      </c>
      <c r="N6" s="32"/>
      <c r="O6" s="34" t="str">
        <f>IF($AK$12=0,"Belum ada data",$AK$12&amp;" dari 3 lantai tersimpan")</f>
        <v>3 dari 3 lantai tersimpan</v>
      </c>
      <c r="P6" s="34"/>
      <c r="Q6" s="34"/>
      <c r="AA6" s="4" t="s">
        <v>12</v>
      </c>
      <c r="AB6" s="4">
        <f>$AB$5+4</f>
        <v>46297</v>
      </c>
    </row>
    <row r="7" spans="2:39" x14ac:dyDescent="0.25">
      <c r="AA7" s="4" t="s">
        <v>13</v>
      </c>
      <c r="AB7" s="4" t="str">
        <f>IF(DAY($AB$5)&lt;10,"0","")&amp;DAY($AB$5)&amp;" "&amp;INDEX({"Januari","Februari","Maret","April","Mei","Juni","Juli","Agustus","September","Oktober","November","Desember"},MONTH($AB$5))&amp;" "&amp;YEAR($AB$5)&amp;" - "&amp;IF(DAY($AB$6)&lt;10,"0","")&amp;DAY($AB$6)&amp;" "&amp;INDEX({"Januari","Februari","Maret","April","Mei","Juni","Juli","Agustus","September","Oktober","November","Desember"},MONTH($AB$6))&amp;" "&amp;YEAR($AB$6)</f>
        <v>28 September 2026 - 02 Oktober 2026</v>
      </c>
    </row>
    <row r="8" spans="2:39" ht="18" customHeight="1" x14ac:dyDescent="0.25">
      <c r="B8" s="33" t="s">
        <v>14</v>
      </c>
      <c r="C8" s="33"/>
      <c r="D8" s="33"/>
      <c r="E8" s="33"/>
      <c r="F8" s="33" t="s">
        <v>15</v>
      </c>
      <c r="G8" s="33"/>
      <c r="H8" s="33"/>
      <c r="I8" s="33"/>
      <c r="J8" s="33" t="s">
        <v>16</v>
      </c>
      <c r="K8" s="33"/>
      <c r="L8" s="33"/>
      <c r="M8" s="33"/>
      <c r="N8" s="33" t="s">
        <v>17</v>
      </c>
      <c r="O8" s="33"/>
      <c r="P8" s="33"/>
      <c r="Q8" s="33"/>
      <c r="AA8" s="6" t="s">
        <v>18</v>
      </c>
      <c r="AB8" s="6" t="s">
        <v>19</v>
      </c>
      <c r="AC8" s="6" t="s">
        <v>20</v>
      </c>
      <c r="AD8" s="6" t="s">
        <v>21</v>
      </c>
      <c r="AE8" s="6" t="s">
        <v>22</v>
      </c>
      <c r="AF8" s="6" t="s">
        <v>23</v>
      </c>
      <c r="AG8" s="6" t="s">
        <v>24</v>
      </c>
      <c r="AH8" s="6" t="s">
        <v>25</v>
      </c>
      <c r="AI8" s="6" t="s">
        <v>26</v>
      </c>
      <c r="AJ8" s="6" t="s">
        <v>27</v>
      </c>
      <c r="AK8" s="6" t="s">
        <v>28</v>
      </c>
      <c r="AL8" s="6" t="s">
        <v>29</v>
      </c>
      <c r="AM8" s="6" t="s">
        <v>30</v>
      </c>
    </row>
    <row r="9" spans="2:39" ht="39.950000000000003" customHeight="1" x14ac:dyDescent="0.25">
      <c r="B9" s="38">
        <f>$AM$12</f>
        <v>5</v>
      </c>
      <c r="C9" s="38"/>
      <c r="D9" s="38"/>
      <c r="E9" s="38"/>
      <c r="F9" s="38">
        <f>IF($AK$12=0,"-",$AL$12)</f>
        <v>80.666666666666671</v>
      </c>
      <c r="G9" s="38"/>
      <c r="H9" s="38"/>
      <c r="I9" s="38"/>
      <c r="J9" s="38">
        <f>IF($AC$12=0,"-",$AD$12)</f>
        <v>484</v>
      </c>
      <c r="K9" s="38"/>
      <c r="L9" s="38"/>
      <c r="M9" s="38"/>
      <c r="N9" s="39" t="str">
        <f>IF($AK$12=0,"-",$AI$12)</f>
        <v>EXCELLENT</v>
      </c>
      <c r="O9" s="39"/>
      <c r="P9" s="39"/>
      <c r="Q9" s="39"/>
      <c r="AA9" t="s">
        <v>31</v>
      </c>
      <c r="AB9">
        <f>SUMPRODUCT(MAX(('MASTER DATA'!$D$2:$D$5000=$AB$3)*('MASTER DATA'!$F$2:$F$5000=$AA9)*ROW('MASTER DATA'!$D$2:$D$5000)))</f>
        <v>2</v>
      </c>
      <c r="AC9">
        <f>COUNTIFS('MASTER DATA'!$K$2:$K$5000,$AB$3,'MASTER DATA'!$L$2:$L$5000,$AA9)</f>
        <v>17</v>
      </c>
      <c r="AD9">
        <f>SUMPRODUCT(('MASTER DATA'!$K$2:$K$5000=$AB$3)*('MASTER DATA'!$L$2:$L$5000=$AA9)*('MASTER DATA'!$N$2:$W$5000='MASTER DATA'!$A$2))</f>
        <v>145</v>
      </c>
      <c r="AE9">
        <f>SUMPRODUCT(('MASTER DATA'!$K$2:$K$5000=$AB$3)*('MASTER DATA'!$L$2:$L$5000=$AA9)*('MASTER DATA'!$N$2:$W$5000='MASTER DATA'!$A$3))</f>
        <v>25</v>
      </c>
      <c r="AF9">
        <f>AD9*'MASTER DATA'!$B$2</f>
        <v>72.5</v>
      </c>
      <c r="AG9">
        <f>AC9*10*'MASTER DATA'!$B$2</f>
        <v>85</v>
      </c>
      <c r="AH9">
        <f>IF(AG9=0,"",AF9/AG9)</f>
        <v>0.8529411764705882</v>
      </c>
      <c r="AI9" t="str">
        <f>IF(AC9=0,"",IF(AF9&gt;80,'MASTER DATA'!$A$6,IF(AF9&gt;=61,'MASTER DATA'!$A$7,IF(AF9&gt;=41,'MASTER DATA'!$A$8,IF(AF9&gt;=21,'MASTER DATA'!$A$9,'MASTER DATA'!$A$10)))))</f>
        <v>GOOD</v>
      </c>
      <c r="AJ9" t="str">
        <f>IF(AB9&gt;0,INDEX('MASTER DATA'!$G:$G,AB9),TRIM(SUBSTITUTE(UPPER('LANTAI 1'!$B$5),"PETUGAS:","")))</f>
        <v>QOLBY</v>
      </c>
      <c r="AK9">
        <f>IF(AC9&gt;0,1,0)</f>
        <v>1</v>
      </c>
      <c r="AM9">
        <f>IF(TRIM(AJ9)="",0,1+(LEN(UPPER(AJ9))-LEN(SUBSTITUTE(UPPER(AJ9)," DAN ","")))/5+LEN(AJ9)-LEN(SUBSTITUTE(AJ9,"&amp;",""))+LEN(AJ9)-LEN(SUBSTITUTE(AJ9,",","")))</f>
        <v>1</v>
      </c>
    </row>
    <row r="10" spans="2:39" ht="18" customHeight="1" x14ac:dyDescent="0.25">
      <c r="B10" s="42" t="str">
        <f>"Lantai 1: "&amp;$AM$9&amp;"  ·  Lantai 2: "&amp;$AM$10&amp;"  ·  Lantai 3: "&amp;$AM$11</f>
        <v>Lantai 1: 1  ·  Lantai 2: 2  ·  Lantai 3: 2</v>
      </c>
      <c r="C10" s="42"/>
      <c r="D10" s="42"/>
      <c r="E10" s="42"/>
      <c r="F10" s="42" t="str">
        <f>IF($AK$12=0,"Belum ada data tersimpan","Capaian "&amp;ROUND($AH$12*100,1)&amp;"% dari nilai maksimal")</f>
        <v>Capaian 84,9% dari nilai maksimal</v>
      </c>
      <c r="G10" s="42"/>
      <c r="H10" s="42"/>
      <c r="I10" s="42"/>
      <c r="J10" s="42" t="str">
        <f>IF($AC$12=0,"Belum ada data tersimpan","dari "&amp;($AD$12+$AE$12)&amp;" ceklis terisi ("&amp;ROUND($AD$12/MAX(1,$AD$12+$AE$12)*100,1)&amp;"% bersih)")</f>
        <v>dari 570 ceklis terisi (84,9% bersih)</v>
      </c>
      <c r="K10" s="42"/>
      <c r="L10" s="42"/>
      <c r="M10" s="42"/>
      <c r="N10" s="45" t="str">
        <f>IF($AK$12=0,"Belum ada data tersimpan","Terbaik: "&amp;PROPER(INDEX($AA$9:$AA$11,MATCH(MAX($AH$9:$AH$11),$AH$9:$AH$11,0)))&amp;" ("&amp;ROUND(MAX($AH$9:$AH$11)*100,1)&amp;"%)")</f>
        <v>Terbaik: Lantai 3 (90,5%)</v>
      </c>
      <c r="O10" s="45"/>
      <c r="P10" s="45"/>
      <c r="Q10" s="45"/>
      <c r="AA10" t="s">
        <v>32</v>
      </c>
      <c r="AB10">
        <f>SUMPRODUCT(MAX(('MASTER DATA'!$D$2:$D$5000=$AB$3)*('MASTER DATA'!$F$2:$F$5000=$AA10)*ROW('MASTER DATA'!$D$2:$D$5000)))</f>
        <v>3</v>
      </c>
      <c r="AC10">
        <f>COUNTIFS('MASTER DATA'!$K$2:$K$5000,$AB$3,'MASTER DATA'!$L$2:$L$5000,$AA10)</f>
        <v>20</v>
      </c>
      <c r="AD10">
        <f>SUMPRODUCT(('MASTER DATA'!$K$2:$K$5000=$AB$3)*('MASTER DATA'!$L$2:$L$5000=$AA10)*('MASTER DATA'!$N$2:$W$5000='MASTER DATA'!$A$2))</f>
        <v>158</v>
      </c>
      <c r="AE10">
        <f>SUMPRODUCT(('MASTER DATA'!$K$2:$K$5000=$AB$3)*('MASTER DATA'!$L$2:$L$5000=$AA10)*('MASTER DATA'!$N$2:$W$5000='MASTER DATA'!$A$3))</f>
        <v>42</v>
      </c>
      <c r="AF10">
        <f>AD10*'MASTER DATA'!$B$2</f>
        <v>79</v>
      </c>
      <c r="AG10">
        <f>AC10*10*'MASTER DATA'!$B$2</f>
        <v>100</v>
      </c>
      <c r="AH10">
        <f>IF(AG10=0,"",AF10/AG10)</f>
        <v>0.79</v>
      </c>
      <c r="AI10" t="str">
        <f>IF(AC10=0,"",IF(AF10&gt;80,'MASTER DATA'!$A$6,IF(AF10&gt;=61,'MASTER DATA'!$A$7,IF(AF10&gt;=41,'MASTER DATA'!$A$8,IF(AF10&gt;=21,'MASTER DATA'!$A$9,'MASTER DATA'!$A$10)))))</f>
        <v>GOOD</v>
      </c>
      <c r="AJ10" t="str">
        <f>IF(AB10&gt;0,INDEX('MASTER DATA'!$G:$G,AB10),TRIM(SUBSTITUTE(UPPER('LANTAI 2'!$B$5),"PETUGAS:","")))</f>
        <v>PARIS DAN WAWAN</v>
      </c>
      <c r="AK10">
        <f>IF(AC10&gt;0,1,0)</f>
        <v>1</v>
      </c>
      <c r="AM10">
        <f>IF(TRIM(AJ10)="",0,1+(LEN(UPPER(AJ10))-LEN(SUBSTITUTE(UPPER(AJ10)," DAN ","")))/5+LEN(AJ10)-LEN(SUBSTITUTE(AJ10,"&amp;",""))+LEN(AJ10)-LEN(SUBSTITUTE(AJ10,",","")))</f>
        <v>2</v>
      </c>
    </row>
    <row r="11" spans="2:39" x14ac:dyDescent="0.25">
      <c r="AA11" t="s">
        <v>33</v>
      </c>
      <c r="AB11">
        <f>SUMPRODUCT(MAX(('MASTER DATA'!$D$2:$D$5000=$AB$3)*('MASTER DATA'!$F$2:$F$5000=$AA11)*ROW('MASTER DATA'!$D$2:$D$5000)))</f>
        <v>4</v>
      </c>
      <c r="AC11">
        <f>COUNTIFS('MASTER DATA'!$K$2:$K$5000,$AB$3,'MASTER DATA'!$L$2:$L$5000,$AA11)</f>
        <v>20</v>
      </c>
      <c r="AD11">
        <f>SUMPRODUCT(('MASTER DATA'!$K$2:$K$5000=$AB$3)*('MASTER DATA'!$L$2:$L$5000=$AA11)*('MASTER DATA'!$N$2:$W$5000='MASTER DATA'!$A$2))</f>
        <v>181</v>
      </c>
      <c r="AE11">
        <f>SUMPRODUCT(('MASTER DATA'!$K$2:$K$5000=$AB$3)*('MASTER DATA'!$L$2:$L$5000=$AA11)*('MASTER DATA'!$N$2:$W$5000='MASTER DATA'!$A$3))</f>
        <v>19</v>
      </c>
      <c r="AF11">
        <f>AD11*'MASTER DATA'!$B$2</f>
        <v>90.5</v>
      </c>
      <c r="AG11">
        <f>AC11*10*'MASTER DATA'!$B$2</f>
        <v>100</v>
      </c>
      <c r="AH11">
        <f>IF(AG11=0,"",AF11/AG11)</f>
        <v>0.90500000000000003</v>
      </c>
      <c r="AI11" t="str">
        <f>IF(AC11=0,"",IF(AF11&gt;80,'MASTER DATA'!$A$6,IF(AF11&gt;=61,'MASTER DATA'!$A$7,IF(AF11&gt;=41,'MASTER DATA'!$A$8,IF(AF11&gt;=21,'MASTER DATA'!$A$9,'MASTER DATA'!$A$10)))))</f>
        <v>EXCELLENT</v>
      </c>
      <c r="AJ11" t="str">
        <f>IF(AB11&gt;0,INDEX('MASTER DATA'!$G:$G,AB11),TRIM(SUBSTITUTE(UPPER('LANTAI 3'!$B$5),"PETUGAS:","")))</f>
        <v>ABD. RAZAK DAN NUR MOH GHOZALI</v>
      </c>
      <c r="AK11">
        <f>IF(AC11&gt;0,1,0)</f>
        <v>1</v>
      </c>
      <c r="AM11">
        <f>IF(TRIM(AJ11)="",0,1+(LEN(UPPER(AJ11))-LEN(SUBSTITUTE(UPPER(AJ11)," DAN ","")))/5+LEN(AJ11)-LEN(SUBSTITUTE(AJ11,"&amp;",""))+LEN(AJ11)-LEN(SUBSTITUTE(AJ11,",","")))</f>
        <v>2</v>
      </c>
    </row>
    <row r="12" spans="2:39" ht="24" customHeight="1" x14ac:dyDescent="0.25">
      <c r="B12" s="44" t="s">
        <v>34</v>
      </c>
      <c r="C12" s="44"/>
      <c r="D12" s="44"/>
      <c r="E12" s="44"/>
      <c r="F12" s="44"/>
      <c r="G12" s="44"/>
      <c r="H12" s="44"/>
      <c r="I12" s="44" t="s">
        <v>35</v>
      </c>
      <c r="J12" s="44"/>
      <c r="K12" s="44"/>
      <c r="L12" s="44"/>
      <c r="M12" s="44" t="s">
        <v>36</v>
      </c>
      <c r="N12" s="44"/>
      <c r="O12" s="44"/>
      <c r="P12" s="44"/>
      <c r="Q12" s="44"/>
      <c r="AA12" t="s">
        <v>37</v>
      </c>
      <c r="AC12">
        <f>SUM(AC9:AC11)</f>
        <v>57</v>
      </c>
      <c r="AD12">
        <f>SUM(AD9:AD11)</f>
        <v>484</v>
      </c>
      <c r="AE12">
        <f>SUM(AE9:AE11)</f>
        <v>86</v>
      </c>
      <c r="AF12">
        <f>SUM(AF9:AF11)</f>
        <v>242</v>
      </c>
      <c r="AG12">
        <f>SUM(AG9:AG11)</f>
        <v>285</v>
      </c>
      <c r="AH12">
        <f>IF(AG12=0,"",AF12/AG12)</f>
        <v>0.84912280701754383</v>
      </c>
      <c r="AI12" t="str">
        <f>IF(AK12=0,"",IF(AL12&gt;80,'MASTER DATA'!$A$6,IF(AL12&gt;=61,'MASTER DATA'!$A$7,IF(AL12&gt;=41,'MASTER DATA'!$A$8,IF(AL12&gt;=21,'MASTER DATA'!$A$9,'MASTER DATA'!$A$10)))))</f>
        <v>EXCELLENT</v>
      </c>
      <c r="AK12">
        <f>SUM(AK9:AK11)</f>
        <v>3</v>
      </c>
      <c r="AL12">
        <f>IF(AK12=0,"",AF12/AK12)</f>
        <v>80.666666666666671</v>
      </c>
      <c r="AM12">
        <f>SUM(AM9:AM11)</f>
        <v>5</v>
      </c>
    </row>
    <row r="13" spans="2:39" ht="15" customHeight="1" x14ac:dyDescent="0.25"/>
    <row r="14" spans="2:39" ht="15" customHeight="1" x14ac:dyDescent="0.25">
      <c r="AA14" t="s">
        <v>38</v>
      </c>
      <c r="AB14">
        <f>MAX(1,MIN($AB$3,MAX($AB$4,1))-7)</f>
        <v>1</v>
      </c>
    </row>
    <row r="15" spans="2:39" ht="15" customHeight="1" x14ac:dyDescent="0.25">
      <c r="AA15" s="6" t="s">
        <v>39</v>
      </c>
      <c r="AB15" s="6" t="s">
        <v>40</v>
      </c>
      <c r="AC15" s="6" t="s">
        <v>41</v>
      </c>
      <c r="AD15" s="6" t="s">
        <v>42</v>
      </c>
      <c r="AE15" s="6" t="s">
        <v>43</v>
      </c>
      <c r="AF15" s="6" t="s">
        <v>44</v>
      </c>
    </row>
    <row r="16" spans="2:39" ht="15" customHeight="1" x14ac:dyDescent="0.25">
      <c r="AA16">
        <v>1</v>
      </c>
      <c r="AB16">
        <f t="shared" ref="AB16:AB23" si="0">$AB$14+AA16-1</f>
        <v>1</v>
      </c>
      <c r="AC16" t="str">
        <f t="shared" ref="AC16:AC23" si="1">IF(AB16&gt;MAX($AB$3,$AB$4),"","Minggu "&amp;AB16)</f>
        <v>Minggu 1</v>
      </c>
      <c r="AD16">
        <f>IF($AC16="",0,SUMIFS('MASTER DATA'!$X$2:$X$5000,'MASTER DATA'!$K$2:$K$5000,$AB16,'MASTER DATA'!$L$2:$L$5000,$AA$9))</f>
        <v>72.5</v>
      </c>
      <c r="AE16">
        <f>IF($AC16="",0,SUMIFS('MASTER DATA'!$X$2:$X$5000,'MASTER DATA'!$K$2:$K$5000,$AB16,'MASTER DATA'!$L$2:$L$5000,$AA$10))</f>
        <v>79</v>
      </c>
      <c r="AF16">
        <f>IF($AC16="",0,SUMIFS('MASTER DATA'!$X$2:$X$5000,'MASTER DATA'!$K$2:$K$5000,$AB16,'MASTER DATA'!$L$2:$L$5000,$AA$11))</f>
        <v>90.5</v>
      </c>
    </row>
    <row r="17" spans="2:32" ht="15" customHeight="1" x14ac:dyDescent="0.25">
      <c r="AA17">
        <v>2</v>
      </c>
      <c r="AB17">
        <f t="shared" si="0"/>
        <v>2</v>
      </c>
      <c r="AC17" t="str">
        <f t="shared" si="1"/>
        <v/>
      </c>
      <c r="AD17">
        <f>IF($AC17="",0,SUMIFS('MASTER DATA'!$X$2:$X$5000,'MASTER DATA'!$K$2:$K$5000,$AB17,'MASTER DATA'!$L$2:$L$5000,$AA$9))</f>
        <v>0</v>
      </c>
      <c r="AE17">
        <f>IF($AC17="",0,SUMIFS('MASTER DATA'!$X$2:$X$5000,'MASTER DATA'!$K$2:$K$5000,$AB17,'MASTER DATA'!$L$2:$L$5000,$AA$10))</f>
        <v>0</v>
      </c>
      <c r="AF17">
        <f>IF($AC17="",0,SUMIFS('MASTER DATA'!$X$2:$X$5000,'MASTER DATA'!$K$2:$K$5000,$AB17,'MASTER DATA'!$L$2:$L$5000,$AA$11))</f>
        <v>0</v>
      </c>
    </row>
    <row r="18" spans="2:32" ht="15" customHeight="1" x14ac:dyDescent="0.25">
      <c r="AA18">
        <v>3</v>
      </c>
      <c r="AB18">
        <f t="shared" si="0"/>
        <v>3</v>
      </c>
      <c r="AC18" t="str">
        <f t="shared" si="1"/>
        <v/>
      </c>
      <c r="AD18">
        <f>IF($AC18="",0,SUMIFS('MASTER DATA'!$X$2:$X$5000,'MASTER DATA'!$K$2:$K$5000,$AB18,'MASTER DATA'!$L$2:$L$5000,$AA$9))</f>
        <v>0</v>
      </c>
      <c r="AE18">
        <f>IF($AC18="",0,SUMIFS('MASTER DATA'!$X$2:$X$5000,'MASTER DATA'!$K$2:$K$5000,$AB18,'MASTER DATA'!$L$2:$L$5000,$AA$10))</f>
        <v>0</v>
      </c>
      <c r="AF18">
        <f>IF($AC18="",0,SUMIFS('MASTER DATA'!$X$2:$X$5000,'MASTER DATA'!$K$2:$K$5000,$AB18,'MASTER DATA'!$L$2:$L$5000,$AA$11))</f>
        <v>0</v>
      </c>
    </row>
    <row r="19" spans="2:32" ht="15" customHeight="1" x14ac:dyDescent="0.25">
      <c r="AA19">
        <v>4</v>
      </c>
      <c r="AB19">
        <f t="shared" si="0"/>
        <v>4</v>
      </c>
      <c r="AC19" t="str">
        <f t="shared" si="1"/>
        <v/>
      </c>
      <c r="AD19">
        <f>IF($AC19="",0,SUMIFS('MASTER DATA'!$X$2:$X$5000,'MASTER DATA'!$K$2:$K$5000,$AB19,'MASTER DATA'!$L$2:$L$5000,$AA$9))</f>
        <v>0</v>
      </c>
      <c r="AE19">
        <f>IF($AC19="",0,SUMIFS('MASTER DATA'!$X$2:$X$5000,'MASTER DATA'!$K$2:$K$5000,$AB19,'MASTER DATA'!$L$2:$L$5000,$AA$10))</f>
        <v>0</v>
      </c>
      <c r="AF19">
        <f>IF($AC19="",0,SUMIFS('MASTER DATA'!$X$2:$X$5000,'MASTER DATA'!$K$2:$K$5000,$AB19,'MASTER DATA'!$L$2:$L$5000,$AA$11))</f>
        <v>0</v>
      </c>
    </row>
    <row r="20" spans="2:32" ht="15" customHeight="1" x14ac:dyDescent="0.25">
      <c r="AA20">
        <v>5</v>
      </c>
      <c r="AB20">
        <f t="shared" si="0"/>
        <v>5</v>
      </c>
      <c r="AC20" t="str">
        <f t="shared" si="1"/>
        <v/>
      </c>
      <c r="AD20">
        <f>IF($AC20="",0,SUMIFS('MASTER DATA'!$X$2:$X$5000,'MASTER DATA'!$K$2:$K$5000,$AB20,'MASTER DATA'!$L$2:$L$5000,$AA$9))</f>
        <v>0</v>
      </c>
      <c r="AE20">
        <f>IF($AC20="",0,SUMIFS('MASTER DATA'!$X$2:$X$5000,'MASTER DATA'!$K$2:$K$5000,$AB20,'MASTER DATA'!$L$2:$L$5000,$AA$10))</f>
        <v>0</v>
      </c>
      <c r="AF20">
        <f>IF($AC20="",0,SUMIFS('MASTER DATA'!$X$2:$X$5000,'MASTER DATA'!$K$2:$K$5000,$AB20,'MASTER DATA'!$L$2:$L$5000,$AA$11))</f>
        <v>0</v>
      </c>
    </row>
    <row r="21" spans="2:32" ht="15" customHeight="1" x14ac:dyDescent="0.25">
      <c r="AA21">
        <v>6</v>
      </c>
      <c r="AB21">
        <f t="shared" si="0"/>
        <v>6</v>
      </c>
      <c r="AC21" t="str">
        <f t="shared" si="1"/>
        <v/>
      </c>
      <c r="AD21">
        <f>IF($AC21="",0,SUMIFS('MASTER DATA'!$X$2:$X$5000,'MASTER DATA'!$K$2:$K$5000,$AB21,'MASTER DATA'!$L$2:$L$5000,$AA$9))</f>
        <v>0</v>
      </c>
      <c r="AE21">
        <f>IF($AC21="",0,SUMIFS('MASTER DATA'!$X$2:$X$5000,'MASTER DATA'!$K$2:$K$5000,$AB21,'MASTER DATA'!$L$2:$L$5000,$AA$10))</f>
        <v>0</v>
      </c>
      <c r="AF21">
        <f>IF($AC21="",0,SUMIFS('MASTER DATA'!$X$2:$X$5000,'MASTER DATA'!$K$2:$K$5000,$AB21,'MASTER DATA'!$L$2:$L$5000,$AA$11))</f>
        <v>0</v>
      </c>
    </row>
    <row r="22" spans="2:32" ht="15" customHeight="1" x14ac:dyDescent="0.25">
      <c r="AA22">
        <v>7</v>
      </c>
      <c r="AB22">
        <f t="shared" si="0"/>
        <v>7</v>
      </c>
      <c r="AC22" t="str">
        <f t="shared" si="1"/>
        <v/>
      </c>
      <c r="AD22">
        <f>IF($AC22="",0,SUMIFS('MASTER DATA'!$X$2:$X$5000,'MASTER DATA'!$K$2:$K$5000,$AB22,'MASTER DATA'!$L$2:$L$5000,$AA$9))</f>
        <v>0</v>
      </c>
      <c r="AE22">
        <f>IF($AC22="",0,SUMIFS('MASTER DATA'!$X$2:$X$5000,'MASTER DATA'!$K$2:$K$5000,$AB22,'MASTER DATA'!$L$2:$L$5000,$AA$10))</f>
        <v>0</v>
      </c>
      <c r="AF22">
        <f>IF($AC22="",0,SUMIFS('MASTER DATA'!$X$2:$X$5000,'MASTER DATA'!$K$2:$K$5000,$AB22,'MASTER DATA'!$L$2:$L$5000,$AA$11))</f>
        <v>0</v>
      </c>
    </row>
    <row r="23" spans="2:32" ht="15" customHeight="1" x14ac:dyDescent="0.25">
      <c r="AA23">
        <v>8</v>
      </c>
      <c r="AB23">
        <f t="shared" si="0"/>
        <v>8</v>
      </c>
      <c r="AC23" t="str">
        <f t="shared" si="1"/>
        <v/>
      </c>
      <c r="AD23">
        <f>IF($AC23="",0,SUMIFS('MASTER DATA'!$X$2:$X$5000,'MASTER DATA'!$K$2:$K$5000,$AB23,'MASTER DATA'!$L$2:$L$5000,$AA$9))</f>
        <v>0</v>
      </c>
      <c r="AE23">
        <f>IF($AC23="",0,SUMIFS('MASTER DATA'!$X$2:$X$5000,'MASTER DATA'!$K$2:$K$5000,$AB23,'MASTER DATA'!$L$2:$L$5000,$AA$10))</f>
        <v>0</v>
      </c>
      <c r="AF23">
        <f>IF($AC23="",0,SUMIFS('MASTER DATA'!$X$2:$X$5000,'MASTER DATA'!$K$2:$K$5000,$AB23,'MASTER DATA'!$L$2:$L$5000,$AA$11))</f>
        <v>0</v>
      </c>
    </row>
    <row r="24" spans="2:32" ht="15" customHeight="1" x14ac:dyDescent="0.25"/>
    <row r="25" spans="2:32" ht="15" customHeight="1" x14ac:dyDescent="0.25"/>
    <row r="26" spans="2:32" ht="15" customHeight="1" x14ac:dyDescent="0.25">
      <c r="AA26" s="6" t="s">
        <v>45</v>
      </c>
      <c r="AB26" s="6" t="s">
        <v>42</v>
      </c>
      <c r="AC26" s="6" t="s">
        <v>43</v>
      </c>
      <c r="AD26" s="6" t="s">
        <v>44</v>
      </c>
    </row>
    <row r="27" spans="2:32" ht="15" customHeight="1" x14ac:dyDescent="0.25">
      <c r="AA27" t="s">
        <v>46</v>
      </c>
      <c r="AB27">
        <f>IF($AC$9=0,0,(COUNTIFS('MASTER DATA'!$K$2:$K$5000,$AB$3,'MASTER DATA'!$L$2:$L$5000,$AA$9,'MASTER DATA'!$N$2:$N$5000,'MASTER DATA'!$A$2)+COUNTIFS('MASTER DATA'!$K$2:$K$5000,$AB$3,'MASTER DATA'!$L$2:$L$5000,$AA$9,'MASTER DATA'!$S$2:$S$5000,'MASTER DATA'!$A$2))/($AC$9*2))</f>
        <v>0.88235294117647056</v>
      </c>
      <c r="AC27">
        <f>IF($AC$10=0,0,(COUNTIFS('MASTER DATA'!$K$2:$K$5000,$AB$3,'MASTER DATA'!$L$2:$L$5000,$AA$10,'MASTER DATA'!$N$2:$N$5000,'MASTER DATA'!$A$2)+COUNTIFS('MASTER DATA'!$K$2:$K$5000,$AB$3,'MASTER DATA'!$L$2:$L$5000,$AA$10,'MASTER DATA'!$S$2:$S$5000,'MASTER DATA'!$A$2))/($AC$10*2))</f>
        <v>0.9</v>
      </c>
      <c r="AD27">
        <f>IF($AC$11=0,0,(COUNTIFS('MASTER DATA'!$K$2:$K$5000,$AB$3,'MASTER DATA'!$L$2:$L$5000,$AA$11,'MASTER DATA'!$N$2:$N$5000,'MASTER DATA'!$A$2)+COUNTIFS('MASTER DATA'!$K$2:$K$5000,$AB$3,'MASTER DATA'!$L$2:$L$5000,$AA$11,'MASTER DATA'!$S$2:$S$5000,'MASTER DATA'!$A$2))/($AC$11*2))</f>
        <v>0.875</v>
      </c>
    </row>
    <row r="28" spans="2:32" ht="8.1" customHeight="1" x14ac:dyDescent="0.25">
      <c r="AA28" t="s">
        <v>47</v>
      </c>
      <c r="AB28">
        <f>IF($AC$9=0,0,(COUNTIFS('MASTER DATA'!$K$2:$K$5000,$AB$3,'MASTER DATA'!$L$2:$L$5000,$AA$9,'MASTER DATA'!$O$2:$O$5000,'MASTER DATA'!$A$2)+COUNTIFS('MASTER DATA'!$K$2:$K$5000,$AB$3,'MASTER DATA'!$L$2:$L$5000,$AA$9,'MASTER DATA'!$T$2:$T$5000,'MASTER DATA'!$A$2))/($AC$9*2))</f>
        <v>0.73529411764705888</v>
      </c>
      <c r="AC28">
        <f>IF($AC$10=0,0,(COUNTIFS('MASTER DATA'!$K$2:$K$5000,$AB$3,'MASTER DATA'!$L$2:$L$5000,$AA$10,'MASTER DATA'!$O$2:$O$5000,'MASTER DATA'!$A$2)+COUNTIFS('MASTER DATA'!$K$2:$K$5000,$AB$3,'MASTER DATA'!$L$2:$L$5000,$AA$10,'MASTER DATA'!$T$2:$T$5000,'MASTER DATA'!$A$2))/($AC$10*2))</f>
        <v>0.75</v>
      </c>
      <c r="AD28">
        <f>IF($AC$11=0,0,(COUNTIFS('MASTER DATA'!$K$2:$K$5000,$AB$3,'MASTER DATA'!$L$2:$L$5000,$AA$11,'MASTER DATA'!$O$2:$O$5000,'MASTER DATA'!$A$2)+COUNTIFS('MASTER DATA'!$K$2:$K$5000,$AB$3,'MASTER DATA'!$L$2:$L$5000,$AA$11,'MASTER DATA'!$T$2:$T$5000,'MASTER DATA'!$A$2))/($AC$11*2))</f>
        <v>0.92500000000000004</v>
      </c>
    </row>
    <row r="29" spans="2:32" ht="24" customHeight="1" x14ac:dyDescent="0.25">
      <c r="B29" s="44" t="s">
        <v>48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AA29" t="s">
        <v>49</v>
      </c>
      <c r="AB29">
        <f>IF($AC$9=0,0,(COUNTIFS('MASTER DATA'!$K$2:$K$5000,$AB$3,'MASTER DATA'!$L$2:$L$5000,$AA$9,'MASTER DATA'!$P$2:$P$5000,'MASTER DATA'!$A$2)+COUNTIFS('MASTER DATA'!$K$2:$K$5000,$AB$3,'MASTER DATA'!$L$2:$L$5000,$AA$9,'MASTER DATA'!$U$2:$U$5000,'MASTER DATA'!$A$2))/($AC$9*2))</f>
        <v>0.88235294117647056</v>
      </c>
      <c r="AC29">
        <f>IF($AC$10=0,0,(COUNTIFS('MASTER DATA'!$K$2:$K$5000,$AB$3,'MASTER DATA'!$L$2:$L$5000,$AA$10,'MASTER DATA'!$P$2:$P$5000,'MASTER DATA'!$A$2)+COUNTIFS('MASTER DATA'!$K$2:$K$5000,$AB$3,'MASTER DATA'!$L$2:$L$5000,$AA$10,'MASTER DATA'!$U$2:$U$5000,'MASTER DATA'!$A$2))/($AC$10*2))</f>
        <v>0.77500000000000002</v>
      </c>
      <c r="AD29">
        <f>IF($AC$11=0,0,(COUNTIFS('MASTER DATA'!$K$2:$K$5000,$AB$3,'MASTER DATA'!$L$2:$L$5000,$AA$11,'MASTER DATA'!$P$2:$P$5000,'MASTER DATA'!$A$2)+COUNTIFS('MASTER DATA'!$K$2:$K$5000,$AB$3,'MASTER DATA'!$L$2:$L$5000,$AA$11,'MASTER DATA'!$U$2:$U$5000,'MASTER DATA'!$A$2))/($AC$11*2))</f>
        <v>0.92500000000000004</v>
      </c>
    </row>
    <row r="30" spans="2:32" ht="21.95" customHeight="1" x14ac:dyDescent="0.25">
      <c r="B30" s="43" t="s">
        <v>50</v>
      </c>
      <c r="C30" s="43"/>
      <c r="D30" s="43" t="s">
        <v>51</v>
      </c>
      <c r="E30" s="43"/>
      <c r="F30" s="43"/>
      <c r="G30" s="43"/>
      <c r="H30" s="43"/>
      <c r="I30" s="30" t="s">
        <v>52</v>
      </c>
      <c r="J30" s="30" t="s">
        <v>53</v>
      </c>
      <c r="K30" s="30" t="s">
        <v>54</v>
      </c>
      <c r="L30" s="43" t="s">
        <v>55</v>
      </c>
      <c r="M30" s="43"/>
      <c r="N30" s="43" t="s">
        <v>56</v>
      </c>
      <c r="O30" s="43"/>
      <c r="P30" s="30" t="s">
        <v>57</v>
      </c>
      <c r="Q30" s="30" t="s">
        <v>58</v>
      </c>
      <c r="AA30" t="s">
        <v>59</v>
      </c>
      <c r="AB30">
        <f>IF($AC$9=0,0,(COUNTIFS('MASTER DATA'!$K$2:$K$5000,$AB$3,'MASTER DATA'!$L$2:$L$5000,$AA$9,'MASTER DATA'!$Q$2:$Q$5000,'MASTER DATA'!$A$2)+COUNTIFS('MASTER DATA'!$K$2:$K$5000,$AB$3,'MASTER DATA'!$L$2:$L$5000,$AA$9,'MASTER DATA'!$V$2:$V$5000,'MASTER DATA'!$A$2))/($AC$9*2))</f>
        <v>0.8529411764705882</v>
      </c>
      <c r="AC30">
        <f>IF($AC$10=0,0,(COUNTIFS('MASTER DATA'!$K$2:$K$5000,$AB$3,'MASTER DATA'!$L$2:$L$5000,$AA$10,'MASTER DATA'!$Q$2:$Q$5000,'MASTER DATA'!$A$2)+COUNTIFS('MASTER DATA'!$K$2:$K$5000,$AB$3,'MASTER DATA'!$L$2:$L$5000,$AA$10,'MASTER DATA'!$V$2:$V$5000,'MASTER DATA'!$A$2))/($AC$10*2))</f>
        <v>0.72499999999999998</v>
      </c>
      <c r="AD30">
        <f>IF($AC$11=0,0,(COUNTIFS('MASTER DATA'!$K$2:$K$5000,$AB$3,'MASTER DATA'!$L$2:$L$5000,$AA$11,'MASTER DATA'!$Q$2:$Q$5000,'MASTER DATA'!$A$2)+COUNTIFS('MASTER DATA'!$K$2:$K$5000,$AB$3,'MASTER DATA'!$L$2:$L$5000,$AA$11,'MASTER DATA'!$V$2:$V$5000,'MASTER DATA'!$A$2))/($AC$11*2))</f>
        <v>0.9</v>
      </c>
    </row>
    <row r="31" spans="2:32" ht="26.1" customHeight="1" x14ac:dyDescent="0.25">
      <c r="B31" s="40" t="str">
        <f>PROPER($AA$9)</f>
        <v>Lantai 1</v>
      </c>
      <c r="C31" s="40"/>
      <c r="D31" s="37" t="str">
        <f>$AJ$9</f>
        <v>QOLBY</v>
      </c>
      <c r="E31" s="37"/>
      <c r="F31" s="37"/>
      <c r="G31" s="37"/>
      <c r="H31" s="37"/>
      <c r="I31" s="7">
        <f>IF($AC$9=0,"-",$AC$9)</f>
        <v>17</v>
      </c>
      <c r="J31" s="7">
        <f>IF($AC$9=0,"-",$AF$9)</f>
        <v>72.5</v>
      </c>
      <c r="K31" s="7">
        <f>IF($AC$9=0,"-",$AG$9)</f>
        <v>85</v>
      </c>
      <c r="L31" s="37">
        <f>IF($AC$9=0,"",$AH$9)</f>
        <v>0.8529411764705882</v>
      </c>
      <c r="M31" s="37"/>
      <c r="N31" s="37" t="str">
        <f>$AI$9</f>
        <v>GOOD</v>
      </c>
      <c r="O31" s="37"/>
      <c r="P31" s="7">
        <f>IF($AC$9=0,"-",$AD$9)</f>
        <v>145</v>
      </c>
      <c r="Q31" s="7">
        <f>IF($AC$9=0,"-",$AE$9)</f>
        <v>25</v>
      </c>
      <c r="AA31" t="s">
        <v>60</v>
      </c>
      <c r="AB31">
        <f>IF($AC$9=0,0,(COUNTIFS('MASTER DATA'!$K$2:$K$5000,$AB$3,'MASTER DATA'!$L$2:$L$5000,$AA$9,'MASTER DATA'!$R$2:$R$5000,'MASTER DATA'!$A$2)+COUNTIFS('MASTER DATA'!$K$2:$K$5000,$AB$3,'MASTER DATA'!$L$2:$L$5000,$AA$9,'MASTER DATA'!$W$2:$W$5000,'MASTER DATA'!$A$2))/($AC$9*2))</f>
        <v>0.91176470588235292</v>
      </c>
      <c r="AC31">
        <f>IF($AC$10=0,0,(COUNTIFS('MASTER DATA'!$K$2:$K$5000,$AB$3,'MASTER DATA'!$L$2:$L$5000,$AA$10,'MASTER DATA'!$R$2:$R$5000,'MASTER DATA'!$A$2)+COUNTIFS('MASTER DATA'!$K$2:$K$5000,$AB$3,'MASTER DATA'!$L$2:$L$5000,$AA$10,'MASTER DATA'!$W$2:$W$5000,'MASTER DATA'!$A$2))/($AC$10*2))</f>
        <v>0.8</v>
      </c>
      <c r="AD31">
        <f>IF($AC$11=0,0,(COUNTIFS('MASTER DATA'!$K$2:$K$5000,$AB$3,'MASTER DATA'!$L$2:$L$5000,$AA$11,'MASTER DATA'!$R$2:$R$5000,'MASTER DATA'!$A$2)+COUNTIFS('MASTER DATA'!$K$2:$K$5000,$AB$3,'MASTER DATA'!$L$2:$L$5000,$AA$11,'MASTER DATA'!$W$2:$W$5000,'MASTER DATA'!$A$2))/($AC$11*2))</f>
        <v>0.9</v>
      </c>
    </row>
    <row r="32" spans="2:32" ht="26.1" customHeight="1" x14ac:dyDescent="0.25">
      <c r="B32" s="40" t="str">
        <f>PROPER($AA$10)</f>
        <v>Lantai 2</v>
      </c>
      <c r="C32" s="40"/>
      <c r="D32" s="37" t="str">
        <f>$AJ$10</f>
        <v>PARIS DAN WAWAN</v>
      </c>
      <c r="E32" s="37"/>
      <c r="F32" s="37"/>
      <c r="G32" s="37"/>
      <c r="H32" s="37"/>
      <c r="I32" s="7">
        <f>IF($AC$10=0,"-",$AC$10)</f>
        <v>20</v>
      </c>
      <c r="J32" s="7">
        <f>IF($AC$10=0,"-",$AF$10)</f>
        <v>79</v>
      </c>
      <c r="K32" s="7">
        <f>IF($AC$10=0,"-",$AG$10)</f>
        <v>100</v>
      </c>
      <c r="L32" s="37">
        <f>IF($AC$10=0,"",$AH$10)</f>
        <v>0.79</v>
      </c>
      <c r="M32" s="37"/>
      <c r="N32" s="37" t="str">
        <f>$AI$10</f>
        <v>GOOD</v>
      </c>
      <c r="O32" s="37"/>
      <c r="P32" s="7">
        <f>IF($AC$10=0,"-",$AD$10)</f>
        <v>158</v>
      </c>
      <c r="Q32" s="7">
        <f>IF($AC$10=0,"-",$AE$10)</f>
        <v>42</v>
      </c>
    </row>
    <row r="33" spans="2:30" ht="26.1" customHeight="1" x14ac:dyDescent="0.25">
      <c r="B33" s="40" t="str">
        <f>PROPER($AA$11)</f>
        <v>Lantai 3</v>
      </c>
      <c r="C33" s="40"/>
      <c r="D33" s="37" t="str">
        <f>$AJ$11</f>
        <v>ABD. RAZAK DAN NUR MOH GHOZALI</v>
      </c>
      <c r="E33" s="37"/>
      <c r="F33" s="37"/>
      <c r="G33" s="37"/>
      <c r="H33" s="37"/>
      <c r="I33" s="7">
        <f>IF($AC$11=0,"-",$AC$11)</f>
        <v>20</v>
      </c>
      <c r="J33" s="7">
        <f>IF($AC$11=0,"-",$AF$11)</f>
        <v>90.5</v>
      </c>
      <c r="K33" s="7">
        <f>IF($AC$11=0,"-",$AG$11)</f>
        <v>100</v>
      </c>
      <c r="L33" s="37">
        <f>IF($AC$11=0,"",$AH$11)</f>
        <v>0.90500000000000003</v>
      </c>
      <c r="M33" s="37"/>
      <c r="N33" s="37" t="str">
        <f>$AI$11</f>
        <v>EXCELLENT</v>
      </c>
      <c r="O33" s="37"/>
      <c r="P33" s="7">
        <f>IF($AC$11=0,"-",$AD$11)</f>
        <v>181</v>
      </c>
      <c r="Q33" s="7">
        <f>IF($AC$11=0,"-",$AE$11)</f>
        <v>19</v>
      </c>
    </row>
    <row r="34" spans="2:30" ht="26.1" customHeight="1" x14ac:dyDescent="0.25">
      <c r="B34" s="40" t="s">
        <v>61</v>
      </c>
      <c r="C34" s="40"/>
      <c r="D34" s="40" t="str">
        <f>$AM$12&amp;" petugas  ·  kategori dari rata-rata skor per lantai"</f>
        <v>5 petugas  ·  kategori dari rata-rata skor per lantai</v>
      </c>
      <c r="E34" s="40"/>
      <c r="F34" s="40"/>
      <c r="G34" s="40"/>
      <c r="H34" s="40"/>
      <c r="I34" s="5">
        <f>IF($AC$12=0,"-",$AC$12)</f>
        <v>57</v>
      </c>
      <c r="J34" s="5">
        <f>IF($AC$12=0,"-",$AF$12)</f>
        <v>242</v>
      </c>
      <c r="K34" s="5">
        <f>IF($AC$12=0,"-",$AG$12)</f>
        <v>285</v>
      </c>
      <c r="L34" s="40">
        <f>IF($AC$12=0,"",$AH$12)</f>
        <v>0.84912280701754383</v>
      </c>
      <c r="M34" s="40"/>
      <c r="N34" s="40" t="str">
        <f>$AI$12</f>
        <v>EXCELLENT</v>
      </c>
      <c r="O34" s="40"/>
      <c r="P34" s="5">
        <f>IF($AC$12=0,"-",$AD$12)</f>
        <v>484</v>
      </c>
      <c r="Q34" s="5">
        <f>IF($AC$12=0,"-",$AE$12)</f>
        <v>86</v>
      </c>
      <c r="AA34" s="6" t="s">
        <v>62</v>
      </c>
      <c r="AB34" s="6" t="s">
        <v>63</v>
      </c>
    </row>
    <row r="35" spans="2:30" ht="8.1" customHeight="1" x14ac:dyDescent="0.25">
      <c r="AA35" t="s">
        <v>64</v>
      </c>
      <c r="AB35">
        <f>$AD$12</f>
        <v>484</v>
      </c>
    </row>
    <row r="36" spans="2:30" ht="24" customHeight="1" x14ac:dyDescent="0.25">
      <c r="B36" s="44" t="s">
        <v>65</v>
      </c>
      <c r="C36" s="44"/>
      <c r="D36" s="44"/>
      <c r="E36" s="44"/>
      <c r="F36" s="44"/>
      <c r="G36" s="44"/>
      <c r="H36" s="44"/>
      <c r="I36" s="44" t="s">
        <v>66</v>
      </c>
      <c r="J36" s="44"/>
      <c r="K36" s="44"/>
      <c r="L36" s="44"/>
      <c r="M36" s="44"/>
      <c r="N36" s="44"/>
      <c r="O36" s="44"/>
      <c r="P36" s="44"/>
      <c r="Q36" s="44"/>
      <c r="AA36" t="s">
        <v>67</v>
      </c>
      <c r="AB36">
        <f>$AE$12</f>
        <v>86</v>
      </c>
    </row>
    <row r="37" spans="2:30" ht="15" customHeight="1" x14ac:dyDescent="0.25">
      <c r="AA37" t="s">
        <v>68</v>
      </c>
      <c r="AB37">
        <f>MAX(0,$AC$12*10-$AD$12-$AE$12)</f>
        <v>0</v>
      </c>
    </row>
    <row r="38" spans="2:30" ht="15" customHeight="1" x14ac:dyDescent="0.25"/>
    <row r="39" spans="2:30" ht="15" customHeight="1" x14ac:dyDescent="0.25"/>
    <row r="40" spans="2:30" ht="15" customHeight="1" x14ac:dyDescent="0.25">
      <c r="AA40" s="6" t="s">
        <v>69</v>
      </c>
      <c r="AB40" s="6" t="s">
        <v>70</v>
      </c>
      <c r="AC40" s="6" t="s">
        <v>71</v>
      </c>
      <c r="AD40" s="6" t="s">
        <v>23</v>
      </c>
    </row>
    <row r="41" spans="2:30" ht="15" customHeight="1" x14ac:dyDescent="0.25">
      <c r="AA41">
        <v>1</v>
      </c>
      <c r="AB41">
        <f t="shared" ref="AB41:AB50" si="2">SMALL($AF$54:$AF$110,AA41)</f>
        <v>0.50085000000000002</v>
      </c>
      <c r="AC41" t="str">
        <f t="shared" ref="AC41:AC50" si="3">IF(AB41&gt;=100000000,"",INDEX($AA$54:$AA$110,MATCH(AB41,$AF$54:$AF$110,0)))</f>
        <v>L2 · Ruang Arsip</v>
      </c>
      <c r="AD41">
        <f t="shared" ref="AD41:AD50" si="4">IF(AC41="",0,INDEX($AD$54:$AD$110,MATCH(AB41,$AF$54:$AF$110,0)))</f>
        <v>0.5</v>
      </c>
    </row>
    <row r="42" spans="2:30" ht="15" customHeight="1" x14ac:dyDescent="0.25">
      <c r="AA42">
        <v>2</v>
      </c>
      <c r="AB42">
        <f t="shared" si="2"/>
        <v>2.0006699999999999</v>
      </c>
      <c r="AC42" t="str">
        <f t="shared" si="3"/>
        <v>L1 · Toilet Belakang</v>
      </c>
      <c r="AD42">
        <f t="shared" si="4"/>
        <v>2</v>
      </c>
    </row>
    <row r="43" spans="2:30" ht="15" customHeight="1" x14ac:dyDescent="0.25">
      <c r="AA43">
        <v>3</v>
      </c>
      <c r="AB43">
        <f t="shared" si="2"/>
        <v>2.00088</v>
      </c>
      <c r="AC43" t="str">
        <f t="shared" si="3"/>
        <v>L2 · Toilet</v>
      </c>
      <c r="AD43">
        <f t="shared" si="4"/>
        <v>2</v>
      </c>
    </row>
    <row r="44" spans="2:30" ht="15" customHeight="1" x14ac:dyDescent="0.25">
      <c r="AA44">
        <v>4</v>
      </c>
      <c r="AB44">
        <f t="shared" si="2"/>
        <v>2.50061</v>
      </c>
      <c r="AC44" t="str">
        <f t="shared" si="3"/>
        <v>L1 · Perpustakaan</v>
      </c>
      <c r="AD44">
        <f t="shared" si="4"/>
        <v>2.5</v>
      </c>
    </row>
    <row r="45" spans="2:30" ht="15" customHeight="1" x14ac:dyDescent="0.25">
      <c r="AA45">
        <v>5</v>
      </c>
      <c r="AB45">
        <f t="shared" si="2"/>
        <v>2.5007299999999999</v>
      </c>
      <c r="AC45" t="str">
        <f t="shared" si="3"/>
        <v>L2 · Tangga Depan</v>
      </c>
      <c r="AD45">
        <f t="shared" si="4"/>
        <v>2.5</v>
      </c>
    </row>
    <row r="46" spans="2:30" ht="15" customHeight="1" x14ac:dyDescent="0.25">
      <c r="AA46">
        <v>6</v>
      </c>
      <c r="AB46">
        <f t="shared" si="2"/>
        <v>2.5008900000000001</v>
      </c>
      <c r="AC46" t="str">
        <f t="shared" si="3"/>
        <v>L2 · Balkon</v>
      </c>
      <c r="AD46">
        <f t="shared" si="4"/>
        <v>2.5</v>
      </c>
    </row>
    <row r="47" spans="2:30" ht="15" customHeight="1" x14ac:dyDescent="0.25">
      <c r="AA47">
        <v>7</v>
      </c>
      <c r="AB47">
        <f t="shared" si="2"/>
        <v>3.0006900000000001</v>
      </c>
      <c r="AC47" t="str">
        <f t="shared" si="3"/>
        <v>L1 · Bawah Tangga</v>
      </c>
      <c r="AD47">
        <f t="shared" si="4"/>
        <v>3</v>
      </c>
    </row>
    <row r="48" spans="2:30" ht="15" customHeight="1" x14ac:dyDescent="0.25">
      <c r="AA48">
        <v>8</v>
      </c>
      <c r="AB48">
        <f t="shared" si="2"/>
        <v>3.0008300000000001</v>
      </c>
      <c r="AC48" t="str">
        <f t="shared" si="3"/>
        <v>L2 · Ruang Tender</v>
      </c>
      <c r="AD48">
        <f t="shared" si="4"/>
        <v>3</v>
      </c>
    </row>
    <row r="49" spans="2:32" ht="15" customHeight="1" x14ac:dyDescent="0.25">
      <c r="AA49">
        <v>9</v>
      </c>
      <c r="AB49">
        <f t="shared" si="2"/>
        <v>3.0009299999999999</v>
      </c>
      <c r="AC49" t="str">
        <f t="shared" si="3"/>
        <v>L3 · Jendela Kaca</v>
      </c>
      <c r="AD49">
        <f t="shared" si="4"/>
        <v>3</v>
      </c>
    </row>
    <row r="50" spans="2:32" ht="15" customHeight="1" x14ac:dyDescent="0.25">
      <c r="AA50">
        <v>10</v>
      </c>
      <c r="AB50">
        <f t="shared" si="2"/>
        <v>3.0010599999999998</v>
      </c>
      <c r="AC50" t="str">
        <f t="shared" si="3"/>
        <v>L3 · Sink</v>
      </c>
      <c r="AD50">
        <f t="shared" si="4"/>
        <v>3</v>
      </c>
    </row>
    <row r="51" spans="2:32" ht="15" customHeight="1" x14ac:dyDescent="0.25"/>
    <row r="52" spans="2:32" ht="8.1" customHeight="1" x14ac:dyDescent="0.25"/>
    <row r="53" spans="2:32" ht="15.95" customHeight="1" x14ac:dyDescent="0.25">
      <c r="B53" s="41" t="str">
        <f>"Kategori skor lantai:  "&amp;'MASTER DATA'!$A$6&amp;" "&amp;'MASTER DATA'!$B$6&amp;"  ·  "&amp;'MASTER DATA'!$A$7&amp;" "&amp;'MASTER DATA'!$B$7&amp;"  ·  "&amp;'MASTER DATA'!$A$8&amp;" "&amp;'MASTER DATA'!$B$8&amp;"  ·  "&amp;'MASTER DATA'!$A$9&amp;" "&amp;'MASTER DATA'!$B$9&amp;"  ·  "&amp;'MASTER DATA'!$A$10&amp;" "&amp;'MASTER DATA'!$B$10&amp;"   (skor = jumlah ✓ x "&amp;'MASTER DATA'!$B$2&amp;")"</f>
        <v>Kategori skor lantai:  EXCELLENT &gt;80  ·  GOOD 61–80  ·  FAIR 41–60  ·  POOR 21–40  ·  VERY POOR ≤20   (skor = jumlah ✓ x 0,5)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AA53" s="6" t="s">
        <v>41</v>
      </c>
      <c r="AB53" s="6" t="s">
        <v>18</v>
      </c>
      <c r="AC53" s="6" t="s">
        <v>72</v>
      </c>
      <c r="AD53" s="6" t="s">
        <v>73</v>
      </c>
      <c r="AE53" s="6" t="s">
        <v>28</v>
      </c>
      <c r="AF53" s="6" t="s">
        <v>74</v>
      </c>
    </row>
    <row r="54" spans="2:32" ht="15.95" customHeight="1" x14ac:dyDescent="0.25">
      <c r="B54" s="41" t="s">
        <v>75</v>
      </c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AA54" t="str">
        <f t="shared" ref="AA54:AA70" si="5">"L1 · "&amp;IF(EXACT(AC54,LOWER(AC54)),PROPER(AC54),AC54)</f>
        <v>L1 · Jendela Kaca</v>
      </c>
      <c r="AB54" t="s">
        <v>31</v>
      </c>
      <c r="AC54" t="str">
        <f>'LANTAI 1'!$B$10</f>
        <v>Jendela Kaca</v>
      </c>
      <c r="AD54">
        <f>SUMIFS('MASTER DATA'!$X$2:$X$5000,'MASTER DATA'!$K$2:$K$5000,$AB$3,'MASTER DATA'!$L$2:$L$5000,AB54,'MASTER DATA'!$M$2:$M$5000,AC54)</f>
        <v>4.5</v>
      </c>
      <c r="AE54">
        <f>IF(COUNTIFS('MASTER DATA'!$K$2:$K$5000,$AB$3,'MASTER DATA'!$L$2:$L$5000,AB54,'MASTER DATA'!$M$2:$M$5000,AC54)&gt;0,1,0)</f>
        <v>1</v>
      </c>
      <c r="AF54">
        <f t="shared" ref="AF54:AF85" si="6">IF(AE54=1,AD54+ROW()/100000,1000000000)</f>
        <v>4.50054</v>
      </c>
    </row>
    <row r="55" spans="2:32" ht="6" customHeight="1" x14ac:dyDescent="0.25">
      <c r="AA55" t="str">
        <f t="shared" si="5"/>
        <v>L1 · Semua Pintu</v>
      </c>
      <c r="AB55" t="s">
        <v>31</v>
      </c>
      <c r="AC55" t="str">
        <f>'LANTAI 1'!$B$11</f>
        <v>Semua Pintu</v>
      </c>
      <c r="AD55">
        <f>SUMIFS('MASTER DATA'!$X$2:$X$5000,'MASTER DATA'!$K$2:$K$5000,$AB$3,'MASTER DATA'!$L$2:$L$5000,AB55,'MASTER DATA'!$M$2:$M$5000,AC55)</f>
        <v>5</v>
      </c>
      <c r="AE55">
        <f>IF(COUNTIFS('MASTER DATA'!$K$2:$K$5000,$AB$3,'MASTER DATA'!$L$2:$L$5000,AB55,'MASTER DATA'!$M$2:$M$5000,AC55)&gt;0,1,0)</f>
        <v>1</v>
      </c>
      <c r="AF55">
        <f t="shared" si="6"/>
        <v>5.0005499999999996</v>
      </c>
    </row>
    <row r="56" spans="2:32" x14ac:dyDescent="0.25">
      <c r="AA56" t="str">
        <f t="shared" si="5"/>
        <v>L1 · Plafon</v>
      </c>
      <c r="AB56" t="s">
        <v>31</v>
      </c>
      <c r="AC56" t="str">
        <f>'LANTAI 1'!$B$12</f>
        <v>Plafon</v>
      </c>
      <c r="AD56">
        <f>SUMIFS('MASTER DATA'!$X$2:$X$5000,'MASTER DATA'!$K$2:$K$5000,$AB$3,'MASTER DATA'!$L$2:$L$5000,AB56,'MASTER DATA'!$M$2:$M$5000,AC56)</f>
        <v>5</v>
      </c>
      <c r="AE56">
        <f>IF(COUNTIFS('MASTER DATA'!$K$2:$K$5000,$AB$3,'MASTER DATA'!$L$2:$L$5000,AB56,'MASTER DATA'!$M$2:$M$5000,AC56)&gt;0,1,0)</f>
        <v>1</v>
      </c>
      <c r="AF56">
        <f t="shared" si="6"/>
        <v>5.0005600000000001</v>
      </c>
    </row>
    <row r="57" spans="2:32" x14ac:dyDescent="0.25">
      <c r="AA57" t="str">
        <f t="shared" si="5"/>
        <v>L1 · Lobby</v>
      </c>
      <c r="AB57" t="s">
        <v>31</v>
      </c>
      <c r="AC57" t="str">
        <f>'LANTAI 1'!$B$13</f>
        <v>Lobby</v>
      </c>
      <c r="AD57">
        <f>SUMIFS('MASTER DATA'!$X$2:$X$5000,'MASTER DATA'!$K$2:$K$5000,$AB$3,'MASTER DATA'!$L$2:$L$5000,AB57,'MASTER DATA'!$M$2:$M$5000,AC57)</f>
        <v>4</v>
      </c>
      <c r="AE57">
        <f>IF(COUNTIFS('MASTER DATA'!$K$2:$K$5000,$AB$3,'MASTER DATA'!$L$2:$L$5000,AB57,'MASTER DATA'!$M$2:$M$5000,AC57)&gt;0,1,0)</f>
        <v>1</v>
      </c>
      <c r="AF57">
        <f t="shared" si="6"/>
        <v>4.0005699999999997</v>
      </c>
    </row>
    <row r="58" spans="2:32" x14ac:dyDescent="0.25">
      <c r="AA58" t="str">
        <f t="shared" si="5"/>
        <v>L1 · Lantai</v>
      </c>
      <c r="AB58" t="s">
        <v>31</v>
      </c>
      <c r="AC58" t="str">
        <f>'LANTAI 1'!$B$14</f>
        <v>Lantai</v>
      </c>
      <c r="AD58">
        <f>SUMIFS('MASTER DATA'!$X$2:$X$5000,'MASTER DATA'!$K$2:$K$5000,$AB$3,'MASTER DATA'!$L$2:$L$5000,AB58,'MASTER DATA'!$M$2:$M$5000,AC58)</f>
        <v>4.5</v>
      </c>
      <c r="AE58">
        <f>IF(COUNTIFS('MASTER DATA'!$K$2:$K$5000,$AB$3,'MASTER DATA'!$L$2:$L$5000,AB58,'MASTER DATA'!$M$2:$M$5000,AC58)&gt;0,1,0)</f>
        <v>1</v>
      </c>
      <c r="AF58">
        <f t="shared" si="6"/>
        <v>4.5005800000000002</v>
      </c>
    </row>
    <row r="59" spans="2:32" x14ac:dyDescent="0.25">
      <c r="AA59" t="str">
        <f t="shared" si="5"/>
        <v>L1 · Westafel Depan</v>
      </c>
      <c r="AB59" t="s">
        <v>31</v>
      </c>
      <c r="AC59" t="str">
        <f>'LANTAI 1'!$B$15</f>
        <v>Westafel Depan</v>
      </c>
      <c r="AD59">
        <f>SUMIFS('MASTER DATA'!$X$2:$X$5000,'MASTER DATA'!$K$2:$K$5000,$AB$3,'MASTER DATA'!$L$2:$L$5000,AB59,'MASTER DATA'!$M$2:$M$5000,AC59)</f>
        <v>5</v>
      </c>
      <c r="AE59">
        <f>IF(COUNTIFS('MASTER DATA'!$K$2:$K$5000,$AB$3,'MASTER DATA'!$L$2:$L$5000,AB59,'MASTER DATA'!$M$2:$M$5000,AC59)&gt;0,1,0)</f>
        <v>1</v>
      </c>
      <c r="AF59">
        <f t="shared" si="6"/>
        <v>5.0005899999999999</v>
      </c>
    </row>
    <row r="60" spans="2:32" x14ac:dyDescent="0.25">
      <c r="AA60" t="str">
        <f t="shared" si="5"/>
        <v>L1 · Toilet Depan</v>
      </c>
      <c r="AB60" t="s">
        <v>31</v>
      </c>
      <c r="AC60" t="str">
        <f>'LANTAI 1'!$B$16</f>
        <v>Toilet Depan</v>
      </c>
      <c r="AD60">
        <f>SUMIFS('MASTER DATA'!$X$2:$X$5000,'MASTER DATA'!$K$2:$K$5000,$AB$3,'MASTER DATA'!$L$2:$L$5000,AB60,'MASTER DATA'!$M$2:$M$5000,AC60)</f>
        <v>4.5</v>
      </c>
      <c r="AE60">
        <f>IF(COUNTIFS('MASTER DATA'!$K$2:$K$5000,$AB$3,'MASTER DATA'!$L$2:$L$5000,AB60,'MASTER DATA'!$M$2:$M$5000,AC60)&gt;0,1,0)</f>
        <v>1</v>
      </c>
      <c r="AF60">
        <f t="shared" si="6"/>
        <v>4.5006000000000004</v>
      </c>
    </row>
    <row r="61" spans="2:32" x14ac:dyDescent="0.25">
      <c r="AA61" t="str">
        <f t="shared" si="5"/>
        <v>L1 · Perpustakaan</v>
      </c>
      <c r="AB61" t="s">
        <v>31</v>
      </c>
      <c r="AC61" t="str">
        <f>'LANTAI 1'!$B$17</f>
        <v>Perpustakaan</v>
      </c>
      <c r="AD61">
        <f>SUMIFS('MASTER DATA'!$X$2:$X$5000,'MASTER DATA'!$K$2:$K$5000,$AB$3,'MASTER DATA'!$L$2:$L$5000,AB61,'MASTER DATA'!$M$2:$M$5000,AC61)</f>
        <v>2.5</v>
      </c>
      <c r="AE61">
        <f>IF(COUNTIFS('MASTER DATA'!$K$2:$K$5000,$AB$3,'MASTER DATA'!$L$2:$L$5000,AB61,'MASTER DATA'!$M$2:$M$5000,AC61)&gt;0,1,0)</f>
        <v>1</v>
      </c>
      <c r="AF61">
        <f t="shared" si="6"/>
        <v>2.50061</v>
      </c>
    </row>
    <row r="62" spans="2:32" x14ac:dyDescent="0.25">
      <c r="AA62" t="str">
        <f t="shared" si="5"/>
        <v>L1 · Ruang Meeting</v>
      </c>
      <c r="AB62" t="s">
        <v>31</v>
      </c>
      <c r="AC62" t="str">
        <f>'LANTAI 1'!$B$18</f>
        <v>Ruang Meeting</v>
      </c>
      <c r="AD62">
        <f>SUMIFS('MASTER DATA'!$X$2:$X$5000,'MASTER DATA'!$K$2:$K$5000,$AB$3,'MASTER DATA'!$L$2:$L$5000,AB62,'MASTER DATA'!$M$2:$M$5000,AC62)</f>
        <v>5</v>
      </c>
      <c r="AE62">
        <f>IF(COUNTIFS('MASTER DATA'!$K$2:$K$5000,$AB$3,'MASTER DATA'!$L$2:$L$5000,AB62,'MASTER DATA'!$M$2:$M$5000,AC62)&gt;0,1,0)</f>
        <v>1</v>
      </c>
      <c r="AF62">
        <f t="shared" si="6"/>
        <v>5.0006199999999996</v>
      </c>
    </row>
    <row r="63" spans="2:32" x14ac:dyDescent="0.25">
      <c r="AA63" t="str">
        <f t="shared" si="5"/>
        <v>L1 · Gudang</v>
      </c>
      <c r="AB63" t="s">
        <v>31</v>
      </c>
      <c r="AC63" t="str">
        <f>'LANTAI 1'!$B$19</f>
        <v>Gudang</v>
      </c>
      <c r="AD63">
        <f>SUMIFS('MASTER DATA'!$X$2:$X$5000,'MASTER DATA'!$K$2:$K$5000,$AB$3,'MASTER DATA'!$L$2:$L$5000,AB63,'MASTER DATA'!$M$2:$M$5000,AC63)</f>
        <v>5</v>
      </c>
      <c r="AE63">
        <f>IF(COUNTIFS('MASTER DATA'!$K$2:$K$5000,$AB$3,'MASTER DATA'!$L$2:$L$5000,AB63,'MASTER DATA'!$M$2:$M$5000,AC63)&gt;0,1,0)</f>
        <v>1</v>
      </c>
      <c r="AF63">
        <f t="shared" si="6"/>
        <v>5.0006300000000001</v>
      </c>
    </row>
    <row r="64" spans="2:32" x14ac:dyDescent="0.25">
      <c r="AA64" t="str">
        <f t="shared" si="5"/>
        <v>L1 · Pantry</v>
      </c>
      <c r="AB64" t="s">
        <v>31</v>
      </c>
      <c r="AC64" t="str">
        <f>'LANTAI 1'!$B$20</f>
        <v>Pantry</v>
      </c>
      <c r="AD64">
        <f>SUMIFS('MASTER DATA'!$X$2:$X$5000,'MASTER DATA'!$K$2:$K$5000,$AB$3,'MASTER DATA'!$L$2:$L$5000,AB64,'MASTER DATA'!$M$2:$M$5000,AC64)</f>
        <v>4</v>
      </c>
      <c r="AE64">
        <f>IF(COUNTIFS('MASTER DATA'!$K$2:$K$5000,$AB$3,'MASTER DATA'!$L$2:$L$5000,AB64,'MASTER DATA'!$M$2:$M$5000,AC64)&gt;0,1,0)</f>
        <v>1</v>
      </c>
      <c r="AF64">
        <f t="shared" si="6"/>
        <v>4.0006399999999998</v>
      </c>
    </row>
    <row r="65" spans="27:32" x14ac:dyDescent="0.25">
      <c r="AA65" t="str">
        <f t="shared" si="5"/>
        <v>L1 · Sink</v>
      </c>
      <c r="AB65" t="s">
        <v>31</v>
      </c>
      <c r="AC65" t="str">
        <f>'LANTAI 1'!$B$21</f>
        <v>Sink</v>
      </c>
      <c r="AD65">
        <f>SUMIFS('MASTER DATA'!$X$2:$X$5000,'MASTER DATA'!$K$2:$K$5000,$AB$3,'MASTER DATA'!$L$2:$L$5000,AB65,'MASTER DATA'!$M$2:$M$5000,AC65)</f>
        <v>5</v>
      </c>
      <c r="AE65">
        <f>IF(COUNTIFS('MASTER DATA'!$K$2:$K$5000,$AB$3,'MASTER DATA'!$L$2:$L$5000,AB65,'MASTER DATA'!$M$2:$M$5000,AC65)&gt;0,1,0)</f>
        <v>1</v>
      </c>
      <c r="AF65">
        <f t="shared" si="6"/>
        <v>5.0006500000000003</v>
      </c>
    </row>
    <row r="66" spans="27:32" x14ac:dyDescent="0.25">
      <c r="AA66" t="str">
        <f t="shared" si="5"/>
        <v>L1 · Westafel Belakang</v>
      </c>
      <c r="AB66" t="s">
        <v>31</v>
      </c>
      <c r="AC66" t="str">
        <f>'LANTAI 1'!$B$22</f>
        <v>Westafel Belakang</v>
      </c>
      <c r="AD66">
        <f>SUMIFS('MASTER DATA'!$X$2:$X$5000,'MASTER DATA'!$K$2:$K$5000,$AB$3,'MASTER DATA'!$L$2:$L$5000,AB66,'MASTER DATA'!$M$2:$M$5000,AC66)</f>
        <v>5</v>
      </c>
      <c r="AE66">
        <f>IF(COUNTIFS('MASTER DATA'!$K$2:$K$5000,$AB$3,'MASTER DATA'!$L$2:$L$5000,AB66,'MASTER DATA'!$M$2:$M$5000,AC66)&gt;0,1,0)</f>
        <v>1</v>
      </c>
      <c r="AF66">
        <f t="shared" si="6"/>
        <v>5.0006599999999999</v>
      </c>
    </row>
    <row r="67" spans="27:32" x14ac:dyDescent="0.25">
      <c r="AA67" t="str">
        <f t="shared" si="5"/>
        <v>L1 · Toilet Belakang</v>
      </c>
      <c r="AB67" t="s">
        <v>31</v>
      </c>
      <c r="AC67" t="str">
        <f>'LANTAI 1'!$B$23</f>
        <v>Toilet Belakang</v>
      </c>
      <c r="AD67">
        <f>SUMIFS('MASTER DATA'!$X$2:$X$5000,'MASTER DATA'!$K$2:$K$5000,$AB$3,'MASTER DATA'!$L$2:$L$5000,AB67,'MASTER DATA'!$M$2:$M$5000,AC67)</f>
        <v>2</v>
      </c>
      <c r="AE67">
        <f>IF(COUNTIFS('MASTER DATA'!$K$2:$K$5000,$AB$3,'MASTER DATA'!$L$2:$L$5000,AB67,'MASTER DATA'!$M$2:$M$5000,AC67)&gt;0,1,0)</f>
        <v>1</v>
      </c>
      <c r="AF67">
        <f t="shared" si="6"/>
        <v>2.0006699999999999</v>
      </c>
    </row>
    <row r="68" spans="27:32" x14ac:dyDescent="0.25">
      <c r="AA68" t="str">
        <f t="shared" si="5"/>
        <v>L1 · Janitor</v>
      </c>
      <c r="AB68" t="s">
        <v>31</v>
      </c>
      <c r="AC68" t="str">
        <f>'LANTAI 1'!$B$24</f>
        <v>Janitor</v>
      </c>
      <c r="AD68">
        <f>SUMIFS('MASTER DATA'!$X$2:$X$5000,'MASTER DATA'!$K$2:$K$5000,$AB$3,'MASTER DATA'!$L$2:$L$5000,AB68,'MASTER DATA'!$M$2:$M$5000,AC68)</f>
        <v>4</v>
      </c>
      <c r="AE68">
        <f>IF(COUNTIFS('MASTER DATA'!$K$2:$K$5000,$AB$3,'MASTER DATA'!$L$2:$L$5000,AB68,'MASTER DATA'!$M$2:$M$5000,AC68)&gt;0,1,0)</f>
        <v>1</v>
      </c>
      <c r="AF68">
        <f t="shared" si="6"/>
        <v>4.00068</v>
      </c>
    </row>
    <row r="69" spans="27:32" x14ac:dyDescent="0.25">
      <c r="AA69" t="str">
        <f t="shared" si="5"/>
        <v>L1 · Bawah Tangga</v>
      </c>
      <c r="AB69" t="s">
        <v>31</v>
      </c>
      <c r="AC69" t="str">
        <f>'LANTAI 1'!$B$25</f>
        <v>Bawah Tangga</v>
      </c>
      <c r="AD69">
        <f>SUMIFS('MASTER DATA'!$X$2:$X$5000,'MASTER DATA'!$K$2:$K$5000,$AB$3,'MASTER DATA'!$L$2:$L$5000,AB69,'MASTER DATA'!$M$2:$M$5000,AC69)</f>
        <v>3</v>
      </c>
      <c r="AE69">
        <f>IF(COUNTIFS('MASTER DATA'!$K$2:$K$5000,$AB$3,'MASTER DATA'!$L$2:$L$5000,AB69,'MASTER DATA'!$M$2:$M$5000,AC69)&gt;0,1,0)</f>
        <v>1</v>
      </c>
      <c r="AF69">
        <f t="shared" si="6"/>
        <v>3.0006900000000001</v>
      </c>
    </row>
    <row r="70" spans="27:32" x14ac:dyDescent="0.25">
      <c r="AA70" t="str">
        <f t="shared" si="5"/>
        <v>L1 · Area Loker</v>
      </c>
      <c r="AB70" t="s">
        <v>31</v>
      </c>
      <c r="AC70" t="str">
        <f>'LANTAI 1'!$B$26</f>
        <v>Area Loker</v>
      </c>
      <c r="AD70">
        <f>SUMIFS('MASTER DATA'!$X$2:$X$5000,'MASTER DATA'!$K$2:$K$5000,$AB$3,'MASTER DATA'!$L$2:$L$5000,AB70,'MASTER DATA'!$M$2:$M$5000,AC70)</f>
        <v>4.5</v>
      </c>
      <c r="AE70">
        <f>IF(COUNTIFS('MASTER DATA'!$K$2:$K$5000,$AB$3,'MASTER DATA'!$L$2:$L$5000,AB70,'MASTER DATA'!$M$2:$M$5000,AC70)&gt;0,1,0)</f>
        <v>1</v>
      </c>
      <c r="AF70">
        <f t="shared" si="6"/>
        <v>4.5007000000000001</v>
      </c>
    </row>
    <row r="71" spans="27:32" x14ac:dyDescent="0.25">
      <c r="AA71" t="str">
        <f t="shared" ref="AA71:AA90" si="7">"L2 · "&amp;IF(EXACT(AC71,LOWER(AC71)),PROPER(AC71),AC71)</f>
        <v>L2 · Halaman Depan</v>
      </c>
      <c r="AB71" t="s">
        <v>32</v>
      </c>
      <c r="AC71" t="str">
        <f>'LANTAI 2'!$B$10</f>
        <v>Halaman Depan</v>
      </c>
      <c r="AD71">
        <f>SUMIFS('MASTER DATA'!$X$2:$X$5000,'MASTER DATA'!$K$2:$K$5000,$AB$3,'MASTER DATA'!$L$2:$L$5000,AB71,'MASTER DATA'!$M$2:$M$5000,AC71)</f>
        <v>5</v>
      </c>
      <c r="AE71">
        <f>IF(COUNTIFS('MASTER DATA'!$K$2:$K$5000,$AB$3,'MASTER DATA'!$L$2:$L$5000,AB71,'MASTER DATA'!$M$2:$M$5000,AC71)&gt;0,1,0)</f>
        <v>1</v>
      </c>
      <c r="AF71">
        <f t="shared" si="6"/>
        <v>5.0007099999999998</v>
      </c>
    </row>
    <row r="72" spans="27:32" x14ac:dyDescent="0.25">
      <c r="AA72" t="str">
        <f t="shared" si="7"/>
        <v>L2 · Area Parkir Mobil</v>
      </c>
      <c r="AB72" t="s">
        <v>32</v>
      </c>
      <c r="AC72" t="str">
        <f>'LANTAI 2'!$B$11</f>
        <v>Area Parkir Mobil</v>
      </c>
      <c r="AD72">
        <f>SUMIFS('MASTER DATA'!$X$2:$X$5000,'MASTER DATA'!$K$2:$K$5000,$AB$3,'MASTER DATA'!$L$2:$L$5000,AB72,'MASTER DATA'!$M$2:$M$5000,AC72)</f>
        <v>4</v>
      </c>
      <c r="AE72">
        <f>IF(COUNTIFS('MASTER DATA'!$K$2:$K$5000,$AB$3,'MASTER DATA'!$L$2:$L$5000,AB72,'MASTER DATA'!$M$2:$M$5000,AC72)&gt;0,1,0)</f>
        <v>1</v>
      </c>
      <c r="AF72">
        <f t="shared" si="6"/>
        <v>4.0007200000000003</v>
      </c>
    </row>
    <row r="73" spans="27:32" x14ac:dyDescent="0.25">
      <c r="AA73" t="str">
        <f t="shared" si="7"/>
        <v>L2 · Tangga Depan</v>
      </c>
      <c r="AB73" t="s">
        <v>32</v>
      </c>
      <c r="AC73" t="str">
        <f>'LANTAI 2'!$B$12</f>
        <v>Tangga Depan</v>
      </c>
      <c r="AD73">
        <f>SUMIFS('MASTER DATA'!$X$2:$X$5000,'MASTER DATA'!$K$2:$K$5000,$AB$3,'MASTER DATA'!$L$2:$L$5000,AB73,'MASTER DATA'!$M$2:$M$5000,AC73)</f>
        <v>2.5</v>
      </c>
      <c r="AE73">
        <f>IF(COUNTIFS('MASTER DATA'!$K$2:$K$5000,$AB$3,'MASTER DATA'!$L$2:$L$5000,AB73,'MASTER DATA'!$M$2:$M$5000,AC73)&gt;0,1,0)</f>
        <v>1</v>
      </c>
      <c r="AF73">
        <f t="shared" si="6"/>
        <v>2.5007299999999999</v>
      </c>
    </row>
    <row r="74" spans="27:32" x14ac:dyDescent="0.25">
      <c r="AA74" t="str">
        <f t="shared" si="7"/>
        <v>L2 · Plafon</v>
      </c>
      <c r="AB74" t="s">
        <v>32</v>
      </c>
      <c r="AC74" t="str">
        <f>'LANTAI 2'!$B$13</f>
        <v>Plafon</v>
      </c>
      <c r="AD74">
        <f>SUMIFS('MASTER DATA'!$X$2:$X$5000,'MASTER DATA'!$K$2:$K$5000,$AB$3,'MASTER DATA'!$L$2:$L$5000,AB74,'MASTER DATA'!$M$2:$M$5000,AC74)</f>
        <v>5</v>
      </c>
      <c r="AE74">
        <f>IF(COUNTIFS('MASTER DATA'!$K$2:$K$5000,$AB$3,'MASTER DATA'!$L$2:$L$5000,AB74,'MASTER DATA'!$M$2:$M$5000,AC74)&gt;0,1,0)</f>
        <v>1</v>
      </c>
      <c r="AF74">
        <f t="shared" si="6"/>
        <v>5.0007400000000004</v>
      </c>
    </row>
    <row r="75" spans="27:32" x14ac:dyDescent="0.25">
      <c r="AA75" t="str">
        <f t="shared" si="7"/>
        <v>L2 · Lantai</v>
      </c>
      <c r="AB75" t="s">
        <v>32</v>
      </c>
      <c r="AC75" t="str">
        <f>'LANTAI 2'!$B$14</f>
        <v>Lantai</v>
      </c>
      <c r="AD75">
        <f>SUMIFS('MASTER DATA'!$X$2:$X$5000,'MASTER DATA'!$K$2:$K$5000,$AB$3,'MASTER DATA'!$L$2:$L$5000,AB75,'MASTER DATA'!$M$2:$M$5000,AC75)</f>
        <v>3.5</v>
      </c>
      <c r="AE75">
        <f>IF(COUNTIFS('MASTER DATA'!$K$2:$K$5000,$AB$3,'MASTER DATA'!$L$2:$L$5000,AB75,'MASTER DATA'!$M$2:$M$5000,AC75)&gt;0,1,0)</f>
        <v>1</v>
      </c>
      <c r="AF75">
        <f t="shared" si="6"/>
        <v>3.50075</v>
      </c>
    </row>
    <row r="76" spans="27:32" x14ac:dyDescent="0.25">
      <c r="AA76" t="str">
        <f t="shared" si="7"/>
        <v>L2 · Jendela Kaca</v>
      </c>
      <c r="AB76" t="s">
        <v>32</v>
      </c>
      <c r="AC76" t="str">
        <f>'LANTAI 2'!$B$15</f>
        <v>Jendela Kaca</v>
      </c>
      <c r="AD76">
        <f>SUMIFS('MASTER DATA'!$X$2:$X$5000,'MASTER DATA'!$K$2:$K$5000,$AB$3,'MASTER DATA'!$L$2:$L$5000,AB76,'MASTER DATA'!$M$2:$M$5000,AC76)</f>
        <v>4.5</v>
      </c>
      <c r="AE76">
        <f>IF(COUNTIFS('MASTER DATA'!$K$2:$K$5000,$AB$3,'MASTER DATA'!$L$2:$L$5000,AB76,'MASTER DATA'!$M$2:$M$5000,AC76)&gt;0,1,0)</f>
        <v>1</v>
      </c>
      <c r="AF76">
        <f t="shared" si="6"/>
        <v>4.5007599999999996</v>
      </c>
    </row>
    <row r="77" spans="27:32" x14ac:dyDescent="0.25">
      <c r="AA77" t="str">
        <f t="shared" si="7"/>
        <v>L2 · Semua Pintu</v>
      </c>
      <c r="AB77" t="s">
        <v>32</v>
      </c>
      <c r="AC77" t="str">
        <f>'LANTAI 2'!$B$16</f>
        <v>Semua Pintu</v>
      </c>
      <c r="AD77">
        <f>SUMIFS('MASTER DATA'!$X$2:$X$5000,'MASTER DATA'!$K$2:$K$5000,$AB$3,'MASTER DATA'!$L$2:$L$5000,AB77,'MASTER DATA'!$M$2:$M$5000,AC77)</f>
        <v>5</v>
      </c>
      <c r="AE77">
        <f>IF(COUNTIFS('MASTER DATA'!$K$2:$K$5000,$AB$3,'MASTER DATA'!$L$2:$L$5000,AB77,'MASTER DATA'!$M$2:$M$5000,AC77)&gt;0,1,0)</f>
        <v>1</v>
      </c>
      <c r="AF77">
        <f t="shared" si="6"/>
        <v>5.0007700000000002</v>
      </c>
    </row>
    <row r="78" spans="27:32" x14ac:dyDescent="0.25">
      <c r="AA78" t="str">
        <f t="shared" si="7"/>
        <v>L2 · Ruang GM</v>
      </c>
      <c r="AB78" t="s">
        <v>32</v>
      </c>
      <c r="AC78" t="str">
        <f>'LANTAI 2'!$B$17</f>
        <v>Ruang GM</v>
      </c>
      <c r="AD78">
        <f>SUMIFS('MASTER DATA'!$X$2:$X$5000,'MASTER DATA'!$K$2:$K$5000,$AB$3,'MASTER DATA'!$L$2:$L$5000,AB78,'MASTER DATA'!$M$2:$M$5000,AC78)</f>
        <v>5</v>
      </c>
      <c r="AE78">
        <f>IF(COUNTIFS('MASTER DATA'!$K$2:$K$5000,$AB$3,'MASTER DATA'!$L$2:$L$5000,AB78,'MASTER DATA'!$M$2:$M$5000,AC78)&gt;0,1,0)</f>
        <v>1</v>
      </c>
      <c r="AF78">
        <f t="shared" si="6"/>
        <v>5.0007799999999998</v>
      </c>
    </row>
    <row r="79" spans="27:32" x14ac:dyDescent="0.25">
      <c r="AA79" t="str">
        <f t="shared" si="7"/>
        <v>L2 · Ruang SM 1</v>
      </c>
      <c r="AB79" t="s">
        <v>32</v>
      </c>
      <c r="AC79" t="str">
        <f>'LANTAI 2'!$B$18</f>
        <v>Ruang SM 1</v>
      </c>
      <c r="AD79">
        <f>SUMIFS('MASTER DATA'!$X$2:$X$5000,'MASTER DATA'!$K$2:$K$5000,$AB$3,'MASTER DATA'!$L$2:$L$5000,AB79,'MASTER DATA'!$M$2:$M$5000,AC79)</f>
        <v>5</v>
      </c>
      <c r="AE79">
        <f>IF(COUNTIFS('MASTER DATA'!$K$2:$K$5000,$AB$3,'MASTER DATA'!$L$2:$L$5000,AB79,'MASTER DATA'!$M$2:$M$5000,AC79)&gt;0,1,0)</f>
        <v>1</v>
      </c>
      <c r="AF79">
        <f t="shared" si="6"/>
        <v>5.0007900000000003</v>
      </c>
    </row>
    <row r="80" spans="27:32" x14ac:dyDescent="0.25">
      <c r="AA80" t="str">
        <f t="shared" si="7"/>
        <v>L2 · Ruang SM 2</v>
      </c>
      <c r="AB80" t="s">
        <v>32</v>
      </c>
      <c r="AC80" t="str">
        <f>'LANTAI 2'!$B$19</f>
        <v>Ruang SM 2</v>
      </c>
      <c r="AD80">
        <f>SUMIFS('MASTER DATA'!$X$2:$X$5000,'MASTER DATA'!$K$2:$K$5000,$AB$3,'MASTER DATA'!$L$2:$L$5000,AB80,'MASTER DATA'!$M$2:$M$5000,AC80)</f>
        <v>5</v>
      </c>
      <c r="AE80">
        <f>IF(COUNTIFS('MASTER DATA'!$K$2:$K$5000,$AB$3,'MASTER DATA'!$L$2:$L$5000,AB80,'MASTER DATA'!$M$2:$M$5000,AC80)&gt;0,1,0)</f>
        <v>1</v>
      </c>
      <c r="AF80">
        <f t="shared" si="6"/>
        <v>5.0007999999999999</v>
      </c>
    </row>
    <row r="81" spans="27:32" x14ac:dyDescent="0.25">
      <c r="AA81" t="str">
        <f t="shared" si="7"/>
        <v>L2 · Ruang Manager</v>
      </c>
      <c r="AB81" t="s">
        <v>32</v>
      </c>
      <c r="AC81" t="str">
        <f>'LANTAI 2'!$B$20</f>
        <v>Ruang Manager</v>
      </c>
      <c r="AD81">
        <f>SUMIFS('MASTER DATA'!$X$2:$X$5000,'MASTER DATA'!$K$2:$K$5000,$AB$3,'MASTER DATA'!$L$2:$L$5000,AB81,'MASTER DATA'!$M$2:$M$5000,AC81)</f>
        <v>5</v>
      </c>
      <c r="AE81">
        <f>IF(COUNTIFS('MASTER DATA'!$K$2:$K$5000,$AB$3,'MASTER DATA'!$L$2:$L$5000,AB81,'MASTER DATA'!$M$2:$M$5000,AC81)&gt;0,1,0)</f>
        <v>1</v>
      </c>
      <c r="AF81">
        <f t="shared" si="6"/>
        <v>5.0008100000000004</v>
      </c>
    </row>
    <row r="82" spans="27:32" x14ac:dyDescent="0.25">
      <c r="AA82" t="str">
        <f t="shared" si="7"/>
        <v>L2 · Ruang Meeting</v>
      </c>
      <c r="AB82" t="s">
        <v>32</v>
      </c>
      <c r="AC82" t="str">
        <f>'LANTAI 2'!$B$21</f>
        <v>Ruang Meeting</v>
      </c>
      <c r="AD82">
        <f>SUMIFS('MASTER DATA'!$X$2:$X$5000,'MASTER DATA'!$K$2:$K$5000,$AB$3,'MASTER DATA'!$L$2:$L$5000,AB82,'MASTER DATA'!$M$2:$M$5000,AC82)</f>
        <v>5</v>
      </c>
      <c r="AE82">
        <f>IF(COUNTIFS('MASTER DATA'!$K$2:$K$5000,$AB$3,'MASTER DATA'!$L$2:$L$5000,AB82,'MASTER DATA'!$M$2:$M$5000,AC82)&gt;0,1,0)</f>
        <v>1</v>
      </c>
      <c r="AF82">
        <f t="shared" si="6"/>
        <v>5.00082</v>
      </c>
    </row>
    <row r="83" spans="27:32" x14ac:dyDescent="0.25">
      <c r="AA83" t="str">
        <f t="shared" si="7"/>
        <v>L2 · Ruang Tender</v>
      </c>
      <c r="AB83" t="s">
        <v>32</v>
      </c>
      <c r="AC83" t="str">
        <f>'LANTAI 2'!$B$22</f>
        <v>Ruang Tender</v>
      </c>
      <c r="AD83">
        <f>SUMIFS('MASTER DATA'!$X$2:$X$5000,'MASTER DATA'!$K$2:$K$5000,$AB$3,'MASTER DATA'!$L$2:$L$5000,AB83,'MASTER DATA'!$M$2:$M$5000,AC83)</f>
        <v>3</v>
      </c>
      <c r="AE83">
        <f>IF(COUNTIFS('MASTER DATA'!$K$2:$K$5000,$AB$3,'MASTER DATA'!$L$2:$L$5000,AB83,'MASTER DATA'!$M$2:$M$5000,AC83)&gt;0,1,0)</f>
        <v>1</v>
      </c>
      <c r="AF83">
        <f t="shared" si="6"/>
        <v>3.0008300000000001</v>
      </c>
    </row>
    <row r="84" spans="27:32" x14ac:dyDescent="0.25">
      <c r="AA84" t="str">
        <f t="shared" si="7"/>
        <v>L2 · Area Kerja Karyawan</v>
      </c>
      <c r="AB84" t="s">
        <v>32</v>
      </c>
      <c r="AC84" t="str">
        <f>'LANTAI 2'!$B$23</f>
        <v>Area Kerja Karyawan</v>
      </c>
      <c r="AD84">
        <f>SUMIFS('MASTER DATA'!$X$2:$X$5000,'MASTER DATA'!$K$2:$K$5000,$AB$3,'MASTER DATA'!$L$2:$L$5000,AB84,'MASTER DATA'!$M$2:$M$5000,AC84)</f>
        <v>5</v>
      </c>
      <c r="AE84">
        <f>IF(COUNTIFS('MASTER DATA'!$K$2:$K$5000,$AB$3,'MASTER DATA'!$L$2:$L$5000,AB84,'MASTER DATA'!$M$2:$M$5000,AC84)&gt;0,1,0)</f>
        <v>1</v>
      </c>
      <c r="AF84">
        <f t="shared" si="6"/>
        <v>5.0008400000000002</v>
      </c>
    </row>
    <row r="85" spans="27:32" x14ac:dyDescent="0.25">
      <c r="AA85" t="str">
        <f t="shared" si="7"/>
        <v>L2 · Ruang Arsip</v>
      </c>
      <c r="AB85" t="s">
        <v>32</v>
      </c>
      <c r="AC85" t="str">
        <f>'LANTAI 2'!$B$24</f>
        <v>Ruang Arsip</v>
      </c>
      <c r="AD85">
        <f>SUMIFS('MASTER DATA'!$X$2:$X$5000,'MASTER DATA'!$K$2:$K$5000,$AB$3,'MASTER DATA'!$L$2:$L$5000,AB85,'MASTER DATA'!$M$2:$M$5000,AC85)</f>
        <v>0.5</v>
      </c>
      <c r="AE85">
        <f>IF(COUNTIFS('MASTER DATA'!$K$2:$K$5000,$AB$3,'MASTER DATA'!$L$2:$L$5000,AB85,'MASTER DATA'!$M$2:$M$5000,AC85)&gt;0,1,0)</f>
        <v>1</v>
      </c>
      <c r="AF85">
        <f t="shared" si="6"/>
        <v>0.50085000000000002</v>
      </c>
    </row>
    <row r="86" spans="27:32" x14ac:dyDescent="0.25">
      <c r="AA86" t="str">
        <f t="shared" si="7"/>
        <v>L2 · Sink</v>
      </c>
      <c r="AB86" t="s">
        <v>32</v>
      </c>
      <c r="AC86" t="str">
        <f>'LANTAI 2'!$B$25</f>
        <v>Sink</v>
      </c>
      <c r="AD86">
        <f>SUMIFS('MASTER DATA'!$X$2:$X$5000,'MASTER DATA'!$K$2:$K$5000,$AB$3,'MASTER DATA'!$L$2:$L$5000,AB86,'MASTER DATA'!$M$2:$M$5000,AC86)</f>
        <v>3.5</v>
      </c>
      <c r="AE86">
        <f>IF(COUNTIFS('MASTER DATA'!$K$2:$K$5000,$AB$3,'MASTER DATA'!$L$2:$L$5000,AB86,'MASTER DATA'!$M$2:$M$5000,AC86)&gt;0,1,0)</f>
        <v>1</v>
      </c>
      <c r="AF86">
        <f t="shared" ref="AF86:AF110" si="8">IF(AE86=1,AD86+ROW()/100000,1000000000)</f>
        <v>3.5008599999999999</v>
      </c>
    </row>
    <row r="87" spans="27:32" x14ac:dyDescent="0.25">
      <c r="AA87" t="str">
        <f t="shared" si="7"/>
        <v>L2 · Wastafel</v>
      </c>
      <c r="AB87" t="s">
        <v>32</v>
      </c>
      <c r="AC87" t="str">
        <f>'LANTAI 2'!$B$26</f>
        <v>Wastafel</v>
      </c>
      <c r="AD87">
        <f>SUMIFS('MASTER DATA'!$X$2:$X$5000,'MASTER DATA'!$K$2:$K$5000,$AB$3,'MASTER DATA'!$L$2:$L$5000,AB87,'MASTER DATA'!$M$2:$M$5000,AC87)</f>
        <v>4.5</v>
      </c>
      <c r="AE87">
        <f>IF(COUNTIFS('MASTER DATA'!$K$2:$K$5000,$AB$3,'MASTER DATA'!$L$2:$L$5000,AB87,'MASTER DATA'!$M$2:$M$5000,AC87)&gt;0,1,0)</f>
        <v>1</v>
      </c>
      <c r="AF87">
        <f t="shared" si="8"/>
        <v>4.5008699999999999</v>
      </c>
    </row>
    <row r="88" spans="27:32" x14ac:dyDescent="0.25">
      <c r="AA88" t="str">
        <f t="shared" si="7"/>
        <v>L2 · Toilet</v>
      </c>
      <c r="AB88" t="s">
        <v>32</v>
      </c>
      <c r="AC88" t="str">
        <f>'LANTAI 2'!$B$27</f>
        <v>Toilet</v>
      </c>
      <c r="AD88">
        <f>SUMIFS('MASTER DATA'!$X$2:$X$5000,'MASTER DATA'!$K$2:$K$5000,$AB$3,'MASTER DATA'!$L$2:$L$5000,AB88,'MASTER DATA'!$M$2:$M$5000,AC88)</f>
        <v>2</v>
      </c>
      <c r="AE88">
        <f>IF(COUNTIFS('MASTER DATA'!$K$2:$K$5000,$AB$3,'MASTER DATA'!$L$2:$L$5000,AB88,'MASTER DATA'!$M$2:$M$5000,AC88)&gt;0,1,0)</f>
        <v>1</v>
      </c>
      <c r="AF88">
        <f t="shared" si="8"/>
        <v>2.00088</v>
      </c>
    </row>
    <row r="89" spans="27:32" x14ac:dyDescent="0.25">
      <c r="AA89" t="str">
        <f t="shared" si="7"/>
        <v>L2 · Balkon</v>
      </c>
      <c r="AB89" t="s">
        <v>32</v>
      </c>
      <c r="AC89" t="str">
        <f>'LANTAI 2'!$B$28</f>
        <v>Balkon</v>
      </c>
      <c r="AD89">
        <f>SUMIFS('MASTER DATA'!$X$2:$X$5000,'MASTER DATA'!$K$2:$K$5000,$AB$3,'MASTER DATA'!$L$2:$L$5000,AB89,'MASTER DATA'!$M$2:$M$5000,AC89)</f>
        <v>2.5</v>
      </c>
      <c r="AE89">
        <f>IF(COUNTIFS('MASTER DATA'!$K$2:$K$5000,$AB$3,'MASTER DATA'!$L$2:$L$5000,AB89,'MASTER DATA'!$M$2:$M$5000,AC89)&gt;0,1,0)</f>
        <v>1</v>
      </c>
      <c r="AF89">
        <f t="shared" si="8"/>
        <v>2.5008900000000001</v>
      </c>
    </row>
    <row r="90" spans="27:32" x14ac:dyDescent="0.25">
      <c r="AA90" t="str">
        <f t="shared" si="7"/>
        <v>L2 · Tanaman</v>
      </c>
      <c r="AB90" t="s">
        <v>32</v>
      </c>
      <c r="AC90" t="str">
        <f>'LANTAI 2'!$B$29</f>
        <v>Tanaman</v>
      </c>
      <c r="AD90">
        <f>SUMIFS('MASTER DATA'!$X$2:$X$5000,'MASTER DATA'!$K$2:$K$5000,$AB$3,'MASTER DATA'!$L$2:$L$5000,AB90,'MASTER DATA'!$M$2:$M$5000,AC90)</f>
        <v>3.5</v>
      </c>
      <c r="AE90">
        <f>IF(COUNTIFS('MASTER DATA'!$K$2:$K$5000,$AB$3,'MASTER DATA'!$L$2:$L$5000,AB90,'MASTER DATA'!$M$2:$M$5000,AC90)&gt;0,1,0)</f>
        <v>1</v>
      </c>
      <c r="AF90">
        <f t="shared" si="8"/>
        <v>3.5009000000000001</v>
      </c>
    </row>
    <row r="91" spans="27:32" x14ac:dyDescent="0.25">
      <c r="AA91" t="str">
        <f t="shared" ref="AA91:AA110" si="9">"L3 · "&amp;IF(EXACT(AC91,LOWER(AC91)),PROPER(AC91),AC91)</f>
        <v>L3 · Area Parkir Motor</v>
      </c>
      <c r="AB91" t="s">
        <v>33</v>
      </c>
      <c r="AC91" t="str">
        <f>'LANTAI 3'!$B$10</f>
        <v>Area Parkir Motor</v>
      </c>
      <c r="AD91">
        <f>SUMIFS('MASTER DATA'!$X$2:$X$5000,'MASTER DATA'!$K$2:$K$5000,$AB$3,'MASTER DATA'!$L$2:$L$5000,AB91,'MASTER DATA'!$M$2:$M$5000,AC91)</f>
        <v>4</v>
      </c>
      <c r="AE91">
        <f>IF(COUNTIFS('MASTER DATA'!$K$2:$K$5000,$AB$3,'MASTER DATA'!$L$2:$L$5000,AB91,'MASTER DATA'!$M$2:$M$5000,AC91)&gt;0,1,0)</f>
        <v>1</v>
      </c>
      <c r="AF91">
        <f t="shared" si="8"/>
        <v>4.0009100000000002</v>
      </c>
    </row>
    <row r="92" spans="27:32" x14ac:dyDescent="0.25">
      <c r="AA92" t="str">
        <f t="shared" si="9"/>
        <v>L3 · Area Kolam</v>
      </c>
      <c r="AB92" t="s">
        <v>33</v>
      </c>
      <c r="AC92" t="str">
        <f>'LANTAI 3'!$B$11</f>
        <v>Area Kolam</v>
      </c>
      <c r="AD92">
        <f>SUMIFS('MASTER DATA'!$X$2:$X$5000,'MASTER DATA'!$K$2:$K$5000,$AB$3,'MASTER DATA'!$L$2:$L$5000,AB92,'MASTER DATA'!$M$2:$M$5000,AC92)</f>
        <v>3.5</v>
      </c>
      <c r="AE92">
        <f>IF(COUNTIFS('MASTER DATA'!$K$2:$K$5000,$AB$3,'MASTER DATA'!$L$2:$L$5000,AB92,'MASTER DATA'!$M$2:$M$5000,AC92)&gt;0,1,0)</f>
        <v>1</v>
      </c>
      <c r="AF92">
        <f t="shared" si="8"/>
        <v>3.5009199999999998</v>
      </c>
    </row>
    <row r="93" spans="27:32" x14ac:dyDescent="0.25">
      <c r="AA93" t="str">
        <f t="shared" si="9"/>
        <v>L3 · Jendela Kaca</v>
      </c>
      <c r="AB93" t="s">
        <v>33</v>
      </c>
      <c r="AC93" t="str">
        <f>'LANTAI 3'!$B$12</f>
        <v>Jendela Kaca</v>
      </c>
      <c r="AD93">
        <f>SUMIFS('MASTER DATA'!$X$2:$X$5000,'MASTER DATA'!$K$2:$K$5000,$AB$3,'MASTER DATA'!$L$2:$L$5000,AB93,'MASTER DATA'!$M$2:$M$5000,AC93)</f>
        <v>3</v>
      </c>
      <c r="AE93">
        <f>IF(COUNTIFS('MASTER DATA'!$K$2:$K$5000,$AB$3,'MASTER DATA'!$L$2:$L$5000,AB93,'MASTER DATA'!$M$2:$M$5000,AC93)&gt;0,1,0)</f>
        <v>1</v>
      </c>
      <c r="AF93">
        <f t="shared" si="8"/>
        <v>3.0009299999999999</v>
      </c>
    </row>
    <row r="94" spans="27:32" x14ac:dyDescent="0.25">
      <c r="AA94" t="str">
        <f t="shared" si="9"/>
        <v>L3 · Plafon</v>
      </c>
      <c r="AB94" t="s">
        <v>33</v>
      </c>
      <c r="AC94" t="str">
        <f>'LANTAI 3'!$B$13</f>
        <v>Plafon</v>
      </c>
      <c r="AD94">
        <f>SUMIFS('MASTER DATA'!$X$2:$X$5000,'MASTER DATA'!$K$2:$K$5000,$AB$3,'MASTER DATA'!$L$2:$L$5000,AB94,'MASTER DATA'!$M$2:$M$5000,AC94)</f>
        <v>5</v>
      </c>
      <c r="AE94">
        <f>IF(COUNTIFS('MASTER DATA'!$K$2:$K$5000,$AB$3,'MASTER DATA'!$L$2:$L$5000,AB94,'MASTER DATA'!$M$2:$M$5000,AC94)&gt;0,1,0)</f>
        <v>1</v>
      </c>
      <c r="AF94">
        <f t="shared" si="8"/>
        <v>5.0009399999999999</v>
      </c>
    </row>
    <row r="95" spans="27:32" x14ac:dyDescent="0.25">
      <c r="AA95" t="str">
        <f t="shared" si="9"/>
        <v>L3 · Toilet Depan</v>
      </c>
      <c r="AB95" t="s">
        <v>33</v>
      </c>
      <c r="AC95" t="str">
        <f>'LANTAI 3'!$B$14</f>
        <v>Toilet Depan</v>
      </c>
      <c r="AD95">
        <f>SUMIFS('MASTER DATA'!$X$2:$X$5000,'MASTER DATA'!$K$2:$K$5000,$AB$3,'MASTER DATA'!$L$2:$L$5000,AB95,'MASTER DATA'!$M$2:$M$5000,AC95)</f>
        <v>4</v>
      </c>
      <c r="AE95">
        <f>IF(COUNTIFS('MASTER DATA'!$K$2:$K$5000,$AB$3,'MASTER DATA'!$L$2:$L$5000,AB95,'MASTER DATA'!$M$2:$M$5000,AC95)&gt;0,1,0)</f>
        <v>1</v>
      </c>
      <c r="AF95">
        <f t="shared" si="8"/>
        <v>4.0009499999999996</v>
      </c>
    </row>
    <row r="96" spans="27:32" x14ac:dyDescent="0.25">
      <c r="AA96" t="str">
        <f t="shared" si="9"/>
        <v>L3 · Ruang Kasir</v>
      </c>
      <c r="AB96" t="s">
        <v>33</v>
      </c>
      <c r="AC96" t="str">
        <f>'LANTAI 3'!$B$15</f>
        <v>Ruang Kasir</v>
      </c>
      <c r="AD96">
        <f>SUMIFS('MASTER DATA'!$X$2:$X$5000,'MASTER DATA'!$K$2:$K$5000,$AB$3,'MASTER DATA'!$L$2:$L$5000,AB96,'MASTER DATA'!$M$2:$M$5000,AC96)</f>
        <v>5</v>
      </c>
      <c r="AE96">
        <f>IF(COUNTIFS('MASTER DATA'!$K$2:$K$5000,$AB$3,'MASTER DATA'!$L$2:$L$5000,AB96,'MASTER DATA'!$M$2:$M$5000,AC96)&gt;0,1,0)</f>
        <v>1</v>
      </c>
      <c r="AF96">
        <f t="shared" si="8"/>
        <v>5.0009600000000001</v>
      </c>
    </row>
    <row r="97" spans="27:32" x14ac:dyDescent="0.25">
      <c r="AA97" t="str">
        <f t="shared" si="9"/>
        <v>L3 · Ruang Manager BS</v>
      </c>
      <c r="AB97" t="s">
        <v>33</v>
      </c>
      <c r="AC97" t="str">
        <f>'LANTAI 3'!$B$16</f>
        <v>Ruang Manager BS</v>
      </c>
      <c r="AD97">
        <f>SUMIFS('MASTER DATA'!$X$2:$X$5000,'MASTER DATA'!$K$2:$K$5000,$AB$3,'MASTER DATA'!$L$2:$L$5000,AB97,'MASTER DATA'!$M$2:$M$5000,AC97)</f>
        <v>5</v>
      </c>
      <c r="AE97">
        <f>IF(COUNTIFS('MASTER DATA'!$K$2:$K$5000,$AB$3,'MASTER DATA'!$L$2:$L$5000,AB97,'MASTER DATA'!$M$2:$M$5000,AC97)&gt;0,1,0)</f>
        <v>1</v>
      </c>
      <c r="AF97">
        <f t="shared" si="8"/>
        <v>5.0009699999999997</v>
      </c>
    </row>
    <row r="98" spans="27:32" x14ac:dyDescent="0.25">
      <c r="AA98" t="str">
        <f t="shared" si="9"/>
        <v>L3 · Area Kerja Karyawan</v>
      </c>
      <c r="AB98" t="s">
        <v>33</v>
      </c>
      <c r="AC98" t="str">
        <f>'LANTAI 3'!$B$17</f>
        <v>Area Kerja Karyawan</v>
      </c>
      <c r="AD98">
        <f>SUMIFS('MASTER DATA'!$X$2:$X$5000,'MASTER DATA'!$K$2:$K$5000,$AB$3,'MASTER DATA'!$L$2:$L$5000,AB98,'MASTER DATA'!$M$2:$M$5000,AC98)</f>
        <v>4.5</v>
      </c>
      <c r="AE98">
        <f>IF(COUNTIFS('MASTER DATA'!$K$2:$K$5000,$AB$3,'MASTER DATA'!$L$2:$L$5000,AB98,'MASTER DATA'!$M$2:$M$5000,AC98)&gt;0,1,0)</f>
        <v>1</v>
      </c>
      <c r="AF98">
        <f t="shared" si="8"/>
        <v>4.5009800000000002</v>
      </c>
    </row>
    <row r="99" spans="27:32" x14ac:dyDescent="0.25">
      <c r="AA99" t="str">
        <f t="shared" si="9"/>
        <v>L3 · Ruang Meeting</v>
      </c>
      <c r="AB99" t="s">
        <v>33</v>
      </c>
      <c r="AC99" t="str">
        <f>'LANTAI 3'!$B$18</f>
        <v>Ruang Meeting</v>
      </c>
      <c r="AD99">
        <f>SUMIFS('MASTER DATA'!$X$2:$X$5000,'MASTER DATA'!$K$2:$K$5000,$AB$3,'MASTER DATA'!$L$2:$L$5000,AB99,'MASTER DATA'!$M$2:$M$5000,AC99)</f>
        <v>5</v>
      </c>
      <c r="AE99">
        <f>IF(COUNTIFS('MASTER DATA'!$K$2:$K$5000,$AB$3,'MASTER DATA'!$L$2:$L$5000,AB99,'MASTER DATA'!$M$2:$M$5000,AC99)&gt;0,1,0)</f>
        <v>1</v>
      </c>
      <c r="AF99">
        <f t="shared" si="8"/>
        <v>5.0009899999999998</v>
      </c>
    </row>
    <row r="100" spans="27:32" x14ac:dyDescent="0.25">
      <c r="AA100" t="str">
        <f t="shared" si="9"/>
        <v>L3 · Ruang GYM</v>
      </c>
      <c r="AB100" t="s">
        <v>33</v>
      </c>
      <c r="AC100" t="str">
        <f>'LANTAI 3'!$B$19</f>
        <v>Ruang GYM</v>
      </c>
      <c r="AD100">
        <f>SUMIFS('MASTER DATA'!$X$2:$X$5000,'MASTER DATA'!$K$2:$K$5000,$AB$3,'MASTER DATA'!$L$2:$L$5000,AB100,'MASTER DATA'!$M$2:$M$5000,AC100)</f>
        <v>4.5</v>
      </c>
      <c r="AE100">
        <f>IF(COUNTIFS('MASTER DATA'!$K$2:$K$5000,$AB$3,'MASTER DATA'!$L$2:$L$5000,AB100,'MASTER DATA'!$M$2:$M$5000,AC100)&gt;0,1,0)</f>
        <v>1</v>
      </c>
      <c r="AF100">
        <f t="shared" si="8"/>
        <v>4.5010000000000003</v>
      </c>
    </row>
    <row r="101" spans="27:32" x14ac:dyDescent="0.25">
      <c r="AA101" t="str">
        <f t="shared" si="9"/>
        <v>L3 · Balkon</v>
      </c>
      <c r="AB101" t="s">
        <v>33</v>
      </c>
      <c r="AC101" t="str">
        <f>'LANTAI 3'!$B$20</f>
        <v>Balkon</v>
      </c>
      <c r="AD101">
        <f>SUMIFS('MASTER DATA'!$X$2:$X$5000,'MASTER DATA'!$K$2:$K$5000,$AB$3,'MASTER DATA'!$L$2:$L$5000,AB101,'MASTER DATA'!$M$2:$M$5000,AC101)</f>
        <v>5</v>
      </c>
      <c r="AE101">
        <f>IF(COUNTIFS('MASTER DATA'!$K$2:$K$5000,$AB$3,'MASTER DATA'!$L$2:$L$5000,AB101,'MASTER DATA'!$M$2:$M$5000,AC101)&gt;0,1,0)</f>
        <v>1</v>
      </c>
      <c r="AF101">
        <f t="shared" si="8"/>
        <v>5.00101</v>
      </c>
    </row>
    <row r="102" spans="27:32" x14ac:dyDescent="0.25">
      <c r="AA102" t="str">
        <f t="shared" si="9"/>
        <v>L3 · Tanaman</v>
      </c>
      <c r="AB102" t="s">
        <v>33</v>
      </c>
      <c r="AC102" t="str">
        <f>'LANTAI 3'!$B$21</f>
        <v>Tanaman</v>
      </c>
      <c r="AD102">
        <f>SUMIFS('MASTER DATA'!$X$2:$X$5000,'MASTER DATA'!$K$2:$K$5000,$AB$3,'MASTER DATA'!$L$2:$L$5000,AB102,'MASTER DATA'!$M$2:$M$5000,AC102)</f>
        <v>5</v>
      </c>
      <c r="AE102">
        <f>IF(COUNTIFS('MASTER DATA'!$K$2:$K$5000,$AB$3,'MASTER DATA'!$L$2:$L$5000,AB102,'MASTER DATA'!$M$2:$M$5000,AC102)&gt;0,1,0)</f>
        <v>1</v>
      </c>
      <c r="AF102">
        <f t="shared" si="8"/>
        <v>5.0010199999999996</v>
      </c>
    </row>
    <row r="103" spans="27:32" x14ac:dyDescent="0.25">
      <c r="AA103" t="str">
        <f t="shared" si="9"/>
        <v>L3 · Gudang LT3</v>
      </c>
      <c r="AB103" t="s">
        <v>33</v>
      </c>
      <c r="AC103" t="str">
        <f>'LANTAI 3'!$B$22</f>
        <v>Gudang LT3</v>
      </c>
      <c r="AD103">
        <f>SUMIFS('MASTER DATA'!$X$2:$X$5000,'MASTER DATA'!$K$2:$K$5000,$AB$3,'MASTER DATA'!$L$2:$L$5000,AB103,'MASTER DATA'!$M$2:$M$5000,AC103)</f>
        <v>5</v>
      </c>
      <c r="AE103">
        <f>IF(COUNTIFS('MASTER DATA'!$K$2:$K$5000,$AB$3,'MASTER DATA'!$L$2:$L$5000,AB103,'MASTER DATA'!$M$2:$M$5000,AC103)&gt;0,1,0)</f>
        <v>1</v>
      </c>
      <c r="AF103">
        <f t="shared" si="8"/>
        <v>5.0010300000000001</v>
      </c>
    </row>
    <row r="104" spans="27:32" x14ac:dyDescent="0.25">
      <c r="AA104" t="str">
        <f t="shared" si="9"/>
        <v>L3 · Musholla</v>
      </c>
      <c r="AB104" t="s">
        <v>33</v>
      </c>
      <c r="AC104" t="str">
        <f>'LANTAI 3'!$B$23</f>
        <v>Musholla</v>
      </c>
      <c r="AD104">
        <f>SUMIFS('MASTER DATA'!$X$2:$X$5000,'MASTER DATA'!$K$2:$K$5000,$AB$3,'MASTER DATA'!$L$2:$L$5000,AB104,'MASTER DATA'!$M$2:$M$5000,AC104)</f>
        <v>5</v>
      </c>
      <c r="AE104">
        <f>IF(COUNTIFS('MASTER DATA'!$K$2:$K$5000,$AB$3,'MASTER DATA'!$L$2:$L$5000,AB104,'MASTER DATA'!$M$2:$M$5000,AC104)&gt;0,1,0)</f>
        <v>1</v>
      </c>
      <c r="AF104">
        <f t="shared" si="8"/>
        <v>5.0010399999999997</v>
      </c>
    </row>
    <row r="105" spans="27:32" x14ac:dyDescent="0.25">
      <c r="AA105" t="str">
        <f t="shared" si="9"/>
        <v>L3 · Area Wudhu</v>
      </c>
      <c r="AB105" t="s">
        <v>33</v>
      </c>
      <c r="AC105" t="str">
        <f>'LANTAI 3'!$B$24</f>
        <v>Area Wudhu</v>
      </c>
      <c r="AD105">
        <f>SUMIFS('MASTER DATA'!$X$2:$X$5000,'MASTER DATA'!$K$2:$K$5000,$AB$3,'MASTER DATA'!$L$2:$L$5000,AB105,'MASTER DATA'!$M$2:$M$5000,AC105)</f>
        <v>5</v>
      </c>
      <c r="AE105">
        <f>IF(COUNTIFS('MASTER DATA'!$K$2:$K$5000,$AB$3,'MASTER DATA'!$L$2:$L$5000,AB105,'MASTER DATA'!$M$2:$M$5000,AC105)&gt;0,1,0)</f>
        <v>1</v>
      </c>
      <c r="AF105">
        <f t="shared" si="8"/>
        <v>5.0010500000000002</v>
      </c>
    </row>
    <row r="106" spans="27:32" x14ac:dyDescent="0.25">
      <c r="AA106" t="str">
        <f t="shared" si="9"/>
        <v>L3 · Sink</v>
      </c>
      <c r="AB106" t="s">
        <v>33</v>
      </c>
      <c r="AC106" t="str">
        <f>'LANTAI 3'!$B$25</f>
        <v>Sink</v>
      </c>
      <c r="AD106">
        <f>SUMIFS('MASTER DATA'!$X$2:$X$5000,'MASTER DATA'!$K$2:$K$5000,$AB$3,'MASTER DATA'!$L$2:$L$5000,AB106,'MASTER DATA'!$M$2:$M$5000,AC106)</f>
        <v>3</v>
      </c>
      <c r="AE106">
        <f>IF(COUNTIFS('MASTER DATA'!$K$2:$K$5000,$AB$3,'MASTER DATA'!$L$2:$L$5000,AB106,'MASTER DATA'!$M$2:$M$5000,AC106)&gt;0,1,0)</f>
        <v>1</v>
      </c>
      <c r="AF106">
        <f t="shared" si="8"/>
        <v>3.0010599999999998</v>
      </c>
    </row>
    <row r="107" spans="27:32" x14ac:dyDescent="0.25">
      <c r="AA107" t="str">
        <f t="shared" si="9"/>
        <v>L3 · Wastafel</v>
      </c>
      <c r="AB107" t="s">
        <v>33</v>
      </c>
      <c r="AC107" t="str">
        <f>'LANTAI 3'!$B$26</f>
        <v>Wastafel</v>
      </c>
      <c r="AD107">
        <f>SUMIFS('MASTER DATA'!$X$2:$X$5000,'MASTER DATA'!$K$2:$K$5000,$AB$3,'MASTER DATA'!$L$2:$L$5000,AB107,'MASTER DATA'!$M$2:$M$5000,AC107)</f>
        <v>5</v>
      </c>
      <c r="AE107">
        <f>IF(COUNTIFS('MASTER DATA'!$K$2:$K$5000,$AB$3,'MASTER DATA'!$L$2:$L$5000,AB107,'MASTER DATA'!$M$2:$M$5000,AC107)&gt;0,1,0)</f>
        <v>1</v>
      </c>
      <c r="AF107">
        <f t="shared" si="8"/>
        <v>5.0010700000000003</v>
      </c>
    </row>
    <row r="108" spans="27:32" x14ac:dyDescent="0.25">
      <c r="AA108" t="str">
        <f t="shared" si="9"/>
        <v>L3 · Toilet Belakang LT3</v>
      </c>
      <c r="AB108" t="s">
        <v>33</v>
      </c>
      <c r="AC108" t="str">
        <f>'LANTAI 3'!$B$27</f>
        <v>Toilet Belakang LT3</v>
      </c>
      <c r="AD108">
        <f>SUMIFS('MASTER DATA'!$X$2:$X$5000,'MASTER DATA'!$K$2:$K$5000,$AB$3,'MASTER DATA'!$L$2:$L$5000,AB108,'MASTER DATA'!$M$2:$M$5000,AC108)</f>
        <v>4.5</v>
      </c>
      <c r="AE108">
        <f>IF(COUNTIFS('MASTER DATA'!$K$2:$K$5000,$AB$3,'MASTER DATA'!$L$2:$L$5000,AB108,'MASTER DATA'!$M$2:$M$5000,AC108)&gt;0,1,0)</f>
        <v>1</v>
      </c>
      <c r="AF108">
        <f t="shared" si="8"/>
        <v>4.50108</v>
      </c>
    </row>
    <row r="109" spans="27:32" x14ac:dyDescent="0.25">
      <c r="AA109" t="str">
        <f t="shared" si="9"/>
        <v>L3 · Area Rooftop</v>
      </c>
      <c r="AB109" t="s">
        <v>33</v>
      </c>
      <c r="AC109" t="str">
        <f>'LANTAI 3'!$B$28</f>
        <v>Area Rooftop</v>
      </c>
      <c r="AD109">
        <f>SUMIFS('MASTER DATA'!$X$2:$X$5000,'MASTER DATA'!$K$2:$K$5000,$AB$3,'MASTER DATA'!$L$2:$L$5000,AB109,'MASTER DATA'!$M$2:$M$5000,AC109)</f>
        <v>5</v>
      </c>
      <c r="AE109">
        <f>IF(COUNTIFS('MASTER DATA'!$K$2:$K$5000,$AB$3,'MASTER DATA'!$L$2:$L$5000,AB109,'MASTER DATA'!$M$2:$M$5000,AC109)&gt;0,1,0)</f>
        <v>1</v>
      </c>
      <c r="AF109">
        <f t="shared" si="8"/>
        <v>5.0010899999999996</v>
      </c>
    </row>
    <row r="110" spans="27:32" x14ac:dyDescent="0.25">
      <c r="AA110" t="str">
        <f t="shared" si="9"/>
        <v>L3 · Tangga Belakang</v>
      </c>
      <c r="AB110" t="s">
        <v>33</v>
      </c>
      <c r="AC110" t="str">
        <f>'LANTAI 3'!$B$29</f>
        <v>Tangga Belakang</v>
      </c>
      <c r="AD110">
        <f>SUMIFS('MASTER DATA'!$X$2:$X$5000,'MASTER DATA'!$K$2:$K$5000,$AB$3,'MASTER DATA'!$L$2:$L$5000,AB110,'MASTER DATA'!$M$2:$M$5000,AC110)</f>
        <v>4.5</v>
      </c>
      <c r="AE110">
        <f>IF(COUNTIFS('MASTER DATA'!$K$2:$K$5000,$AB$3,'MASTER DATA'!$L$2:$L$5000,AB110,'MASTER DATA'!$M$2:$M$5000,AC110)&gt;0,1,0)</f>
        <v>1</v>
      </c>
      <c r="AF110">
        <f t="shared" si="8"/>
        <v>4.5011000000000001</v>
      </c>
    </row>
  </sheetData>
  <mergeCells count="47">
    <mergeCell ref="B53:Q53"/>
    <mergeCell ref="B32:C32"/>
    <mergeCell ref="B10:E10"/>
    <mergeCell ref="B29:Q29"/>
    <mergeCell ref="N10:Q10"/>
    <mergeCell ref="B36:H36"/>
    <mergeCell ref="I36:Q36"/>
    <mergeCell ref="D34:H34"/>
    <mergeCell ref="B54:Q54"/>
    <mergeCell ref="F10:I10"/>
    <mergeCell ref="L30:M30"/>
    <mergeCell ref="J10:M10"/>
    <mergeCell ref="M12:Q12"/>
    <mergeCell ref="B34:C34"/>
    <mergeCell ref="B12:H12"/>
    <mergeCell ref="L31:M31"/>
    <mergeCell ref="N31:O31"/>
    <mergeCell ref="B30:C30"/>
    <mergeCell ref="D30:H30"/>
    <mergeCell ref="N30:O30"/>
    <mergeCell ref="B33:C33"/>
    <mergeCell ref="L34:M34"/>
    <mergeCell ref="N34:O34"/>
    <mergeCell ref="I12:L12"/>
    <mergeCell ref="L33:M33"/>
    <mergeCell ref="N33:O33"/>
    <mergeCell ref="D32:H32"/>
    <mergeCell ref="M6:N6"/>
    <mergeCell ref="J9:M9"/>
    <mergeCell ref="D33:H33"/>
    <mergeCell ref="B9:E9"/>
    <mergeCell ref="F9:I9"/>
    <mergeCell ref="N9:Q9"/>
    <mergeCell ref="L32:M32"/>
    <mergeCell ref="N32:O32"/>
    <mergeCell ref="B31:C31"/>
    <mergeCell ref="D31:H31"/>
    <mergeCell ref="B3:Q3"/>
    <mergeCell ref="B6:C6"/>
    <mergeCell ref="B8:E8"/>
    <mergeCell ref="O6:Q6"/>
    <mergeCell ref="N8:Q8"/>
    <mergeCell ref="F8:I8"/>
    <mergeCell ref="F6:G6"/>
    <mergeCell ref="D6:E6"/>
    <mergeCell ref="H6:L6"/>
    <mergeCell ref="J8:M8"/>
  </mergeCells>
  <conditionalFormatting sqref="N31:N34">
    <cfRule type="cellIs" dxfId="9" priority="1" operator="equal">
      <formula>"EXCELLENT"</formula>
    </cfRule>
    <cfRule type="cellIs" dxfId="8" priority="2" operator="equal">
      <formula>"GOOD"</formula>
    </cfRule>
    <cfRule type="cellIs" dxfId="7" priority="3" operator="equal">
      <formula>"FAIR"</formula>
    </cfRule>
    <cfRule type="cellIs" dxfId="6" priority="4" operator="equal">
      <formula>"POOR"</formula>
    </cfRule>
    <cfRule type="cellIs" dxfId="5" priority="5" operator="equal">
      <formula>"VERY POOR"</formula>
    </cfRule>
  </conditionalFormatting>
  <conditionalFormatting sqref="N9">
    <cfRule type="cellIs" dxfId="4" priority="6" operator="equal">
      <formula>"EXCELLENT"</formula>
    </cfRule>
    <cfRule type="cellIs" dxfId="3" priority="7" operator="equal">
      <formula>"GOOD"</formula>
    </cfRule>
    <cfRule type="cellIs" dxfId="2" priority="8" operator="equal">
      <formula>"FAIR"</formula>
    </cfRule>
    <cfRule type="cellIs" dxfId="1" priority="9" operator="equal">
      <formula>"POOR"</formula>
    </cfRule>
    <cfRule type="cellIs" dxfId="0" priority="10" operator="equal">
      <formula>"VERY POOR"</formula>
    </cfRule>
  </conditionalFormatting>
  <conditionalFormatting sqref="L31:L34">
    <cfRule type="dataBar" priority="11">
      <dataBar>
        <cfvo type="num" val="0"/>
        <cfvo type="num" val="1"/>
        <color rgb="FFF28BAE"/>
      </dataBar>
    </cfRule>
  </conditionalFormatting>
  <dataValidations count="1">
    <dataValidation type="list" showInputMessage="1" showErrorMessage="1" errorTitle="Minggu tidak valid" error="Pilih minggu dari daftar." promptTitle="Pilih minggu" prompt="Klik tanda panah untuk memilih minggu." sqref="D6" xr:uid="{00000000-0002-0000-0000-000000000000}">
      <formula1>DaftarMinggu</formula1>
    </dataValidation>
  </dataValidations>
  <pageMargins left="0.3" right="0.3" top="0.3" bottom="0.3" header="0.5" footer="0.5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28"/>
  <sheetViews>
    <sheetView showGridLines="0" topLeftCell="A6" zoomScale="112" zoomScaleNormal="112" workbookViewId="0">
      <selection activeCell="H9" sqref="H9"/>
    </sheetView>
  </sheetViews>
  <sheetFormatPr defaultRowHeight="15" x14ac:dyDescent="0.25"/>
  <cols>
    <col min="1" max="1" width="8.42578125" customWidth="1"/>
    <col min="2" max="2" width="19.42578125" customWidth="1"/>
    <col min="3" max="3" width="9.140625" customWidth="1"/>
    <col min="13" max="13" width="9.140625" hidden="1" customWidth="1"/>
  </cols>
  <sheetData>
    <row r="1" spans="2:15" ht="15.75" customHeight="1" thickBot="1" x14ac:dyDescent="0.3"/>
    <row r="2" spans="2:15" ht="15.75" x14ac:dyDescent="0.25">
      <c r="B2" s="63" t="s">
        <v>5</v>
      </c>
      <c r="C2" s="64"/>
      <c r="D2" s="64"/>
      <c r="E2" s="64"/>
      <c r="F2" s="64"/>
      <c r="G2" s="64"/>
      <c r="H2" s="64"/>
      <c r="I2" s="64"/>
      <c r="J2" s="64"/>
      <c r="K2" s="64"/>
      <c r="L2" s="64"/>
    </row>
    <row r="3" spans="2:15" ht="15.75" x14ac:dyDescent="0.25">
      <c r="B3" s="61" t="s">
        <v>76</v>
      </c>
      <c r="C3" s="62"/>
      <c r="D3" s="62"/>
      <c r="E3" s="62"/>
      <c r="F3" s="62"/>
      <c r="G3" s="62"/>
      <c r="H3" s="62"/>
      <c r="I3" s="62"/>
      <c r="J3" s="62"/>
      <c r="K3" s="62"/>
      <c r="L3" s="62"/>
    </row>
    <row r="4" spans="2:15" ht="15.75" customHeight="1" thickBot="1" x14ac:dyDescent="0.3">
      <c r="B4" s="69" t="s">
        <v>31</v>
      </c>
      <c r="C4" s="70"/>
      <c r="D4" s="70"/>
      <c r="E4" s="70"/>
      <c r="F4" s="70"/>
      <c r="G4" s="70"/>
      <c r="H4" s="70"/>
      <c r="I4" s="70"/>
      <c r="J4" s="70"/>
      <c r="K4" s="70"/>
      <c r="L4" s="70"/>
    </row>
    <row r="5" spans="2:15" x14ac:dyDescent="0.25">
      <c r="B5" s="49" t="s">
        <v>77</v>
      </c>
      <c r="C5" s="47"/>
      <c r="D5" s="47"/>
      <c r="E5" s="47"/>
      <c r="F5" s="47"/>
      <c r="G5" s="47"/>
      <c r="H5" s="46" t="s">
        <v>78</v>
      </c>
      <c r="I5" s="47"/>
      <c r="J5" s="47"/>
      <c r="K5" s="47"/>
      <c r="L5" s="48"/>
      <c r="M5" s="2"/>
      <c r="N5" s="2"/>
      <c r="O5" s="2"/>
    </row>
    <row r="6" spans="2:15" ht="15.75" customHeight="1" thickBot="1" x14ac:dyDescent="0.3">
      <c r="B6" s="68" t="s">
        <v>170</v>
      </c>
      <c r="C6" s="51"/>
      <c r="D6" s="51"/>
      <c r="E6" s="51"/>
      <c r="F6" s="51"/>
      <c r="G6" s="51"/>
      <c r="H6" s="50" t="s">
        <v>184</v>
      </c>
      <c r="I6" s="51"/>
      <c r="J6" s="51"/>
      <c r="K6" s="51"/>
      <c r="L6" s="52"/>
      <c r="M6" s="2"/>
      <c r="N6" s="2"/>
      <c r="O6" s="2"/>
    </row>
    <row r="7" spans="2:15" ht="15.75" customHeight="1" thickBot="1" x14ac:dyDescent="0.3">
      <c r="B7" s="67" t="s">
        <v>79</v>
      </c>
      <c r="C7" s="65" t="s">
        <v>80</v>
      </c>
      <c r="D7" s="66"/>
      <c r="E7" s="66"/>
      <c r="F7" s="66"/>
      <c r="G7" s="66"/>
      <c r="H7" s="66"/>
      <c r="I7" s="66"/>
      <c r="J7" s="66"/>
      <c r="K7" s="66"/>
      <c r="L7" s="66"/>
      <c r="M7" s="60" t="s">
        <v>81</v>
      </c>
      <c r="N7" s="58"/>
      <c r="O7" s="58"/>
    </row>
    <row r="8" spans="2:15" ht="15.75" customHeight="1" thickBot="1" x14ac:dyDescent="0.3">
      <c r="B8" s="66"/>
      <c r="C8" s="65" t="s">
        <v>82</v>
      </c>
      <c r="D8" s="66"/>
      <c r="E8" s="66"/>
      <c r="F8" s="66"/>
      <c r="G8" s="66"/>
      <c r="H8" s="65" t="s">
        <v>185</v>
      </c>
      <c r="I8" s="66"/>
      <c r="J8" s="66"/>
      <c r="K8" s="66"/>
      <c r="L8" s="66"/>
      <c r="M8" s="59"/>
      <c r="N8" s="59"/>
      <c r="O8" s="59"/>
    </row>
    <row r="9" spans="2:15" ht="15.75" customHeight="1" thickBot="1" x14ac:dyDescent="0.3">
      <c r="B9" s="66"/>
      <c r="C9" s="18" t="s">
        <v>83</v>
      </c>
      <c r="D9" s="18" t="s">
        <v>84</v>
      </c>
      <c r="E9" s="18" t="s">
        <v>85</v>
      </c>
      <c r="F9" s="18" t="s">
        <v>86</v>
      </c>
      <c r="G9" s="18" t="s">
        <v>87</v>
      </c>
      <c r="H9" s="18" t="s">
        <v>83</v>
      </c>
      <c r="I9" s="18" t="s">
        <v>84</v>
      </c>
      <c r="J9" s="18" t="s">
        <v>85</v>
      </c>
      <c r="K9" s="18" t="s">
        <v>86</v>
      </c>
      <c r="L9" s="18" t="s">
        <v>87</v>
      </c>
      <c r="M9" s="59"/>
      <c r="N9" s="59"/>
      <c r="O9" s="59"/>
    </row>
    <row r="10" spans="2:15" ht="16.5" customHeight="1" thickBot="1" x14ac:dyDescent="0.3">
      <c r="B10" s="19" t="s">
        <v>88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>
        <f>COUNTIF(C10:L10,'MASTER DATA'!$A$2)*0.5</f>
        <v>0</v>
      </c>
    </row>
    <row r="11" spans="2:15" ht="16.5" customHeight="1" thickBot="1" x14ac:dyDescent="0.3">
      <c r="B11" s="19" t="s">
        <v>89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>
        <f>COUNTIF(C11:L11,'MASTER DATA'!$A$2)*0.5</f>
        <v>0</v>
      </c>
    </row>
    <row r="12" spans="2:15" ht="16.5" customHeight="1" thickBot="1" x14ac:dyDescent="0.3">
      <c r="B12" s="19" t="s">
        <v>112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>
        <f>COUNTIF(C12:L12,'MASTER DATA'!$A$2)*0.5</f>
        <v>0</v>
      </c>
    </row>
    <row r="13" spans="2:15" ht="16.5" customHeight="1" thickBot="1" x14ac:dyDescent="0.3">
      <c r="B13" s="19" t="s">
        <v>174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>
        <f>COUNTIF(C13:L13,'MASTER DATA'!$A$2)*0.5</f>
        <v>0</v>
      </c>
    </row>
    <row r="14" spans="2:15" ht="16.5" customHeight="1" thickBot="1" x14ac:dyDescent="0.3">
      <c r="B14" s="19" t="s">
        <v>18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>
        <f>COUNTIF(C14:L14,'MASTER DATA'!$A$2)*0.5</f>
        <v>0</v>
      </c>
    </row>
    <row r="15" spans="2:15" ht="16.5" customHeight="1" thickBot="1" x14ac:dyDescent="0.3">
      <c r="B15" s="19" t="s">
        <v>175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>
        <f>COUNTIF(C15:L15,'MASTER DATA'!$A$2)*0.5</f>
        <v>0</v>
      </c>
    </row>
    <row r="16" spans="2:15" ht="16.5" customHeight="1" thickBot="1" x14ac:dyDescent="0.3">
      <c r="B16" s="19" t="s">
        <v>129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>
        <f>COUNTIF(C16:L16,'MASTER DATA'!$A$2)*0.5</f>
        <v>0</v>
      </c>
    </row>
    <row r="17" spans="2:16" ht="16.5" customHeight="1" thickBot="1" x14ac:dyDescent="0.3">
      <c r="B17" s="19" t="s">
        <v>176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>
        <f>COUNTIF(C17:L17,'MASTER DATA'!$A$2)*0.5</f>
        <v>0</v>
      </c>
    </row>
    <row r="18" spans="2:16" ht="16.5" customHeight="1" thickBot="1" x14ac:dyDescent="0.3">
      <c r="B18" s="19" t="s">
        <v>117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>
        <f>COUNTIF(C18:L18,'MASTER DATA'!$A$2)*0.5</f>
        <v>0</v>
      </c>
    </row>
    <row r="19" spans="2:16" ht="16.5" customHeight="1" thickBot="1" x14ac:dyDescent="0.3">
      <c r="B19" s="19" t="s">
        <v>177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>
        <f>COUNTIF(C19:L19,'MASTER DATA'!$A$2)*0.5</f>
        <v>0</v>
      </c>
    </row>
    <row r="20" spans="2:16" ht="16.5" customHeight="1" thickBot="1" x14ac:dyDescent="0.3">
      <c r="B20" s="19" t="s">
        <v>178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>
        <f>COUNTIF(C20:L20,'MASTER DATA'!$A$2)*0.5</f>
        <v>0</v>
      </c>
    </row>
    <row r="21" spans="2:16" ht="16.5" customHeight="1" thickBot="1" x14ac:dyDescent="0.3">
      <c r="B21" s="19" t="s">
        <v>121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>
        <f>COUNTIF(C21:L21,'MASTER DATA'!$A$2)*0.5</f>
        <v>0</v>
      </c>
    </row>
    <row r="22" spans="2:16" ht="16.5" customHeight="1" thickBot="1" x14ac:dyDescent="0.3">
      <c r="B22" s="19" t="s">
        <v>179</v>
      </c>
      <c r="C22" s="20"/>
      <c r="D22" s="20"/>
      <c r="E22" s="20"/>
      <c r="F22" s="20"/>
      <c r="G22" s="20"/>
      <c r="H22" s="20"/>
      <c r="I22" s="20"/>
      <c r="J22" s="20"/>
      <c r="K22" s="20"/>
      <c r="L22" s="20"/>
      <c r="M22">
        <f>COUNTIF(C22:L22,'MASTER DATA'!$A$2)*0.5</f>
        <v>0</v>
      </c>
    </row>
    <row r="23" spans="2:16" ht="16.5" customHeight="1" thickBot="1" x14ac:dyDescent="0.3">
      <c r="B23" s="19" t="s">
        <v>180</v>
      </c>
      <c r="C23" s="20"/>
      <c r="D23" s="20"/>
      <c r="E23" s="20"/>
      <c r="F23" s="20"/>
      <c r="G23" s="20"/>
      <c r="H23" s="20"/>
      <c r="I23" s="20"/>
      <c r="J23" s="20"/>
      <c r="K23" s="20"/>
      <c r="L23" s="20"/>
      <c r="M23">
        <f>COUNTIF(C23:L23,'MASTER DATA'!$A$2)*0.5</f>
        <v>0</v>
      </c>
      <c r="P23" t="s">
        <v>102</v>
      </c>
    </row>
    <row r="24" spans="2:16" ht="16.5" customHeight="1" thickBot="1" x14ac:dyDescent="0.3">
      <c r="B24" s="19" t="s">
        <v>181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>
        <f>COUNTIF(C24:L24,'MASTER DATA'!$A$2)*0.5</f>
        <v>0</v>
      </c>
    </row>
    <row r="25" spans="2:16" ht="16.5" customHeight="1" thickBot="1" x14ac:dyDescent="0.3">
      <c r="B25" s="19" t="s">
        <v>182</v>
      </c>
      <c r="C25" s="20"/>
      <c r="D25" s="20"/>
      <c r="E25" s="20"/>
      <c r="F25" s="20"/>
      <c r="G25" s="20"/>
      <c r="H25" s="20"/>
      <c r="I25" s="20"/>
      <c r="J25" s="20"/>
      <c r="K25" s="20"/>
      <c r="L25" s="20"/>
      <c r="M25">
        <f>COUNTIF(C25:L25,'MASTER DATA'!$A$2)*0.5</f>
        <v>0</v>
      </c>
    </row>
    <row r="26" spans="2:16" ht="16.5" customHeight="1" thickBot="1" x14ac:dyDescent="0.3">
      <c r="B26" s="19" t="s">
        <v>183</v>
      </c>
      <c r="C26" s="20"/>
      <c r="D26" s="20"/>
      <c r="E26" s="20"/>
      <c r="F26" s="20"/>
      <c r="G26" s="20"/>
      <c r="H26" s="20"/>
      <c r="I26" s="20"/>
      <c r="J26" s="20"/>
      <c r="K26" s="20"/>
      <c r="L26" s="20"/>
      <c r="M26">
        <f>COUNTIF(C26:L26,'MASTER DATA'!$A$2)*0.5</f>
        <v>0</v>
      </c>
    </row>
    <row r="27" spans="2:16" ht="15.75" x14ac:dyDescent="0.25">
      <c r="B27" s="55" t="s">
        <v>106</v>
      </c>
      <c r="C27" s="56"/>
      <c r="D27" s="56"/>
      <c r="E27" s="56"/>
      <c r="F27" s="56"/>
      <c r="G27" s="46" t="str">
        <f>IF(COUNTIF(C10:L26,'MASTER DATA'!$A$2)=0,"",SUM(M10:M26))</f>
        <v/>
      </c>
      <c r="H27" s="47"/>
      <c r="I27" s="47"/>
      <c r="J27" s="47"/>
      <c r="K27" s="47"/>
      <c r="L27" s="48"/>
    </row>
    <row r="28" spans="2:16" ht="15.75" customHeight="1" thickBot="1" x14ac:dyDescent="0.3">
      <c r="B28" s="53" t="s">
        <v>107</v>
      </c>
      <c r="C28" s="54"/>
      <c r="D28" s="54"/>
      <c r="E28" s="54"/>
      <c r="F28" s="54"/>
      <c r="G28" s="50" t="str">
        <f>IF(G27="","",IF(G27&gt;80,'MASTER DATA'!A6,IF(G27&gt;=61,'MASTER DATA'!A7,IF(G27&gt;=41,'MASTER DATA'!A8,IF(G27&gt;=21,'MASTER DATA'!A9,'MASTER DATA'!A10)))))</f>
        <v/>
      </c>
      <c r="H28" s="50"/>
      <c r="I28" s="50"/>
      <c r="J28" s="50"/>
      <c r="K28" s="50"/>
      <c r="L28" s="57"/>
    </row>
  </sheetData>
  <mergeCells count="18">
    <mergeCell ref="O7:O9"/>
    <mergeCell ref="M7:M9"/>
    <mergeCell ref="B3:L3"/>
    <mergeCell ref="B2:L2"/>
    <mergeCell ref="C7:L7"/>
    <mergeCell ref="B7:B9"/>
    <mergeCell ref="H5:L5"/>
    <mergeCell ref="C8:G8"/>
    <mergeCell ref="H8:L8"/>
    <mergeCell ref="N7:N9"/>
    <mergeCell ref="B6:G6"/>
    <mergeCell ref="B4:L4"/>
    <mergeCell ref="G27:L27"/>
    <mergeCell ref="B5:G5"/>
    <mergeCell ref="H6:L6"/>
    <mergeCell ref="B28:F28"/>
    <mergeCell ref="B27:F27"/>
    <mergeCell ref="G28:L28"/>
  </mergeCells>
  <dataValidations count="1">
    <dataValidation type="list" allowBlank="1" showInputMessage="1" showErrorMessage="1" sqref="C10:L26" xr:uid="{D3434EA9-45C1-456C-843E-CBCC422E0290}">
      <formula1>PilihanKebersihan</formula1>
    </dataValidation>
  </dataValidations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P31"/>
  <sheetViews>
    <sheetView showGridLines="0" zoomScale="115" zoomScaleNormal="115" workbookViewId="0">
      <selection activeCell="H9" sqref="H9"/>
    </sheetView>
  </sheetViews>
  <sheetFormatPr defaultRowHeight="15" x14ac:dyDescent="0.25"/>
  <cols>
    <col min="2" max="2" width="19.42578125" customWidth="1"/>
    <col min="3" max="3" width="9.140625" customWidth="1"/>
    <col min="13" max="13" width="9.140625" hidden="1" customWidth="1"/>
  </cols>
  <sheetData>
    <row r="1" spans="2:15" ht="15.75" customHeight="1" thickBot="1" x14ac:dyDescent="0.3"/>
    <row r="2" spans="2:15" ht="15.75" x14ac:dyDescent="0.25">
      <c r="B2" s="63" t="s">
        <v>5</v>
      </c>
      <c r="C2" s="64"/>
      <c r="D2" s="64"/>
      <c r="E2" s="64"/>
      <c r="F2" s="64"/>
      <c r="G2" s="64"/>
      <c r="H2" s="64"/>
      <c r="I2" s="64"/>
      <c r="J2" s="64"/>
      <c r="K2" s="64"/>
      <c r="L2" s="64"/>
    </row>
    <row r="3" spans="2:15" ht="15.75" x14ac:dyDescent="0.25">
      <c r="B3" s="61" t="s">
        <v>76</v>
      </c>
      <c r="C3" s="62"/>
      <c r="D3" s="62"/>
      <c r="E3" s="62"/>
      <c r="F3" s="62"/>
      <c r="G3" s="62"/>
      <c r="H3" s="62"/>
      <c r="I3" s="62"/>
      <c r="J3" s="62"/>
      <c r="K3" s="62"/>
      <c r="L3" s="62"/>
    </row>
    <row r="4" spans="2:15" ht="15.75" customHeight="1" thickBot="1" x14ac:dyDescent="0.3">
      <c r="B4" s="69" t="s">
        <v>32</v>
      </c>
      <c r="C4" s="70"/>
      <c r="D4" s="70"/>
      <c r="E4" s="70"/>
      <c r="F4" s="70"/>
      <c r="G4" s="70"/>
      <c r="H4" s="70"/>
      <c r="I4" s="70"/>
      <c r="J4" s="70"/>
      <c r="K4" s="70"/>
      <c r="L4" s="70"/>
    </row>
    <row r="5" spans="2:15" x14ac:dyDescent="0.25">
      <c r="B5" s="49" t="s">
        <v>108</v>
      </c>
      <c r="C5" s="47"/>
      <c r="D5" s="47"/>
      <c r="E5" s="47"/>
      <c r="F5" s="47"/>
      <c r="G5" s="47"/>
      <c r="H5" s="46" t="s">
        <v>78</v>
      </c>
      <c r="I5" s="47"/>
      <c r="J5" s="47"/>
      <c r="K5" s="47"/>
      <c r="L5" s="48"/>
      <c r="M5" s="2"/>
      <c r="N5" s="2"/>
      <c r="O5" s="2"/>
    </row>
    <row r="6" spans="2:15" ht="15.75" customHeight="1" thickBot="1" x14ac:dyDescent="0.3">
      <c r="B6" s="68" t="s">
        <v>170</v>
      </c>
      <c r="C6" s="51"/>
      <c r="D6" s="51"/>
      <c r="E6" s="51"/>
      <c r="F6" s="51"/>
      <c r="G6" s="51"/>
      <c r="H6" s="50" t="s">
        <v>184</v>
      </c>
      <c r="I6" s="51"/>
      <c r="J6" s="51"/>
      <c r="K6" s="51"/>
      <c r="L6" s="52"/>
      <c r="M6" s="2"/>
      <c r="N6" s="2"/>
      <c r="O6" s="2"/>
    </row>
    <row r="7" spans="2:15" ht="15.75" customHeight="1" thickBot="1" x14ac:dyDescent="0.3">
      <c r="B7" s="67" t="s">
        <v>79</v>
      </c>
      <c r="C7" s="65" t="s">
        <v>80</v>
      </c>
      <c r="D7" s="66"/>
      <c r="E7" s="66"/>
      <c r="F7" s="66"/>
      <c r="G7" s="66"/>
      <c r="H7" s="66"/>
      <c r="I7" s="66"/>
      <c r="J7" s="66"/>
      <c r="K7" s="66"/>
      <c r="L7" s="66"/>
      <c r="M7" s="60" t="s">
        <v>81</v>
      </c>
      <c r="N7" s="58"/>
      <c r="O7" s="58"/>
    </row>
    <row r="8" spans="2:15" ht="15.75" customHeight="1" thickBot="1" x14ac:dyDescent="0.3">
      <c r="B8" s="66"/>
      <c r="C8" s="65" t="s">
        <v>82</v>
      </c>
      <c r="D8" s="66"/>
      <c r="E8" s="66"/>
      <c r="F8" s="66"/>
      <c r="G8" s="66"/>
      <c r="H8" s="65" t="s">
        <v>185</v>
      </c>
      <c r="I8" s="66"/>
      <c r="J8" s="66"/>
      <c r="K8" s="66"/>
      <c r="L8" s="66"/>
      <c r="M8" s="59"/>
      <c r="N8" s="59"/>
      <c r="O8" s="59"/>
    </row>
    <row r="9" spans="2:15" ht="15.75" customHeight="1" thickBot="1" x14ac:dyDescent="0.3">
      <c r="B9" s="66"/>
      <c r="C9" s="18" t="s">
        <v>83</v>
      </c>
      <c r="D9" s="18" t="s">
        <v>84</v>
      </c>
      <c r="E9" s="18" t="s">
        <v>85</v>
      </c>
      <c r="F9" s="18" t="s">
        <v>86</v>
      </c>
      <c r="G9" s="18" t="s">
        <v>87</v>
      </c>
      <c r="H9" s="18" t="s">
        <v>83</v>
      </c>
      <c r="I9" s="18" t="s">
        <v>84</v>
      </c>
      <c r="J9" s="18" t="s">
        <v>85</v>
      </c>
      <c r="K9" s="18" t="s">
        <v>86</v>
      </c>
      <c r="L9" s="18" t="s">
        <v>87</v>
      </c>
      <c r="M9" s="59"/>
      <c r="N9" s="59"/>
      <c r="O9" s="59"/>
    </row>
    <row r="10" spans="2:15" ht="16.5" customHeight="1" thickBot="1" x14ac:dyDescent="0.3">
      <c r="B10" s="12" t="s">
        <v>109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>
        <f>COUNTIF(C10:L10,'MASTER DATA'!$A$2)*0.5</f>
        <v>0</v>
      </c>
    </row>
    <row r="11" spans="2:15" ht="16.5" customHeight="1" thickBot="1" x14ac:dyDescent="0.3">
      <c r="B11" s="12" t="s">
        <v>110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>
        <f>COUNTIF(C11:L11,'MASTER DATA'!$A$2)*0.5</f>
        <v>0</v>
      </c>
    </row>
    <row r="12" spans="2:15" ht="16.5" customHeight="1" thickBot="1" x14ac:dyDescent="0.3">
      <c r="B12" s="12" t="s">
        <v>111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>
        <f>COUNTIF(C12:L12,'MASTER DATA'!$A$2)*0.5</f>
        <v>0</v>
      </c>
    </row>
    <row r="13" spans="2:15" ht="16.5" customHeight="1" thickBot="1" x14ac:dyDescent="0.3">
      <c r="B13" s="12" t="s">
        <v>112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>
        <f>COUNTIF(C13:L13,'MASTER DATA'!$A$2)*0.5</f>
        <v>0</v>
      </c>
    </row>
    <row r="14" spans="2:15" ht="16.5" customHeight="1" thickBot="1" x14ac:dyDescent="0.3">
      <c r="B14" s="12" t="s">
        <v>18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>
        <f>COUNTIF(C14:L14,'MASTER DATA'!$A$2)*0.5</f>
        <v>0</v>
      </c>
    </row>
    <row r="15" spans="2:15" ht="16.5" customHeight="1" thickBot="1" x14ac:dyDescent="0.3">
      <c r="B15" s="12" t="s">
        <v>88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>
        <f>COUNTIF(C15:L15,'MASTER DATA'!$A$2)*0.5</f>
        <v>0</v>
      </c>
    </row>
    <row r="16" spans="2:15" ht="16.5" customHeight="1" thickBot="1" x14ac:dyDescent="0.3">
      <c r="B16" s="12" t="s">
        <v>89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>
        <f>COUNTIF(C16:L16,'MASTER DATA'!$A$2)*0.5</f>
        <v>0</v>
      </c>
    </row>
    <row r="17" spans="2:16" ht="16.5" customHeight="1" thickBot="1" x14ac:dyDescent="0.3">
      <c r="B17" s="12" t="s">
        <v>113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>
        <f>COUNTIF(C17:L17,'MASTER DATA'!$A$2)*0.5</f>
        <v>0</v>
      </c>
    </row>
    <row r="18" spans="2:16" ht="16.5" customHeight="1" thickBot="1" x14ac:dyDescent="0.3">
      <c r="B18" s="12" t="s">
        <v>114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>
        <f>COUNTIF(C18:L18,'MASTER DATA'!$A$2)*0.5</f>
        <v>0</v>
      </c>
    </row>
    <row r="19" spans="2:16" ht="16.5" customHeight="1" thickBot="1" x14ac:dyDescent="0.3">
      <c r="B19" s="12" t="s">
        <v>115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>
        <f>COUNTIF(C19:L19,'MASTER DATA'!$A$2)*0.5</f>
        <v>0</v>
      </c>
    </row>
    <row r="20" spans="2:16" ht="16.5" customHeight="1" thickBot="1" x14ac:dyDescent="0.3">
      <c r="B20" s="12" t="s">
        <v>116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>
        <f>COUNTIF(C20:L20,'MASTER DATA'!$A$2)*0.5</f>
        <v>0</v>
      </c>
    </row>
    <row r="21" spans="2:16" ht="16.5" customHeight="1" thickBot="1" x14ac:dyDescent="0.3">
      <c r="B21" s="12" t="s">
        <v>117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>
        <f>COUNTIF(C21:L21,'MASTER DATA'!$A$2)*0.5</f>
        <v>0</v>
      </c>
    </row>
    <row r="22" spans="2:16" ht="16.5" customHeight="1" thickBot="1" x14ac:dyDescent="0.3">
      <c r="B22" s="12" t="s">
        <v>118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>
        <f>COUNTIF(C22:L22,'MASTER DATA'!$A$2)*0.5</f>
        <v>0</v>
      </c>
    </row>
    <row r="23" spans="2:16" ht="16.5" customHeight="1" thickBot="1" x14ac:dyDescent="0.3">
      <c r="B23" s="12" t="s">
        <v>119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>
        <f>COUNTIF(C23:L23,'MASTER DATA'!$A$2)*0.5</f>
        <v>0</v>
      </c>
      <c r="P23" t="s">
        <v>102</v>
      </c>
    </row>
    <row r="24" spans="2:16" ht="16.5" customHeight="1" thickBot="1" x14ac:dyDescent="0.3">
      <c r="B24" s="12" t="s">
        <v>120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>
        <f>COUNTIF(C24:L24,'MASTER DATA'!$A$2)*0.5</f>
        <v>0</v>
      </c>
    </row>
    <row r="25" spans="2:16" ht="16.5" customHeight="1" thickBot="1" x14ac:dyDescent="0.3">
      <c r="B25" s="12" t="s">
        <v>121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>
        <f>COUNTIF(C25:L25,'MASTER DATA'!$A$2)*0.5</f>
        <v>0</v>
      </c>
    </row>
    <row r="26" spans="2:16" ht="16.5" customHeight="1" thickBot="1" x14ac:dyDescent="0.3">
      <c r="B26" s="12" t="s">
        <v>122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>
        <f>COUNTIF(C26:L26,'MASTER DATA'!$A$2)*0.5</f>
        <v>0</v>
      </c>
    </row>
    <row r="27" spans="2:16" ht="16.5" customHeight="1" thickBot="1" x14ac:dyDescent="0.3">
      <c r="B27" s="12" t="s">
        <v>123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>
        <f>COUNTIF(C27:L27,'MASTER DATA'!$A$2)*0.5</f>
        <v>0</v>
      </c>
    </row>
    <row r="28" spans="2:16" ht="16.5" customHeight="1" thickBot="1" x14ac:dyDescent="0.3">
      <c r="B28" s="12" t="s">
        <v>124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>
        <f>COUNTIF(C28:L28,'MASTER DATA'!$A$2)*0.5</f>
        <v>0</v>
      </c>
    </row>
    <row r="29" spans="2:16" ht="16.5" customHeight="1" thickBot="1" x14ac:dyDescent="0.3">
      <c r="B29" s="12" t="s">
        <v>125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>
        <f>COUNTIF(C29:L29,'MASTER DATA'!$A$2)*0.5</f>
        <v>0</v>
      </c>
    </row>
    <row r="30" spans="2:16" ht="15.75" x14ac:dyDescent="0.25">
      <c r="B30" s="55" t="s">
        <v>106</v>
      </c>
      <c r="C30" s="56"/>
      <c r="D30" s="56"/>
      <c r="E30" s="56"/>
      <c r="F30" s="56"/>
      <c r="G30" s="46" t="str">
        <f>IF(COUNTIF(C10:L29,'MASTER DATA'!$A$2)=0,"",SUM(M10:M29))</f>
        <v/>
      </c>
      <c r="H30" s="47"/>
      <c r="I30" s="47"/>
      <c r="J30" s="47"/>
      <c r="K30" s="47"/>
      <c r="L30" s="48"/>
    </row>
    <row r="31" spans="2:16" ht="15.75" customHeight="1" thickBot="1" x14ac:dyDescent="0.3">
      <c r="B31" s="53" t="s">
        <v>107</v>
      </c>
      <c r="C31" s="54"/>
      <c r="D31" s="54"/>
      <c r="E31" s="54"/>
      <c r="F31" s="54"/>
      <c r="G31" s="71" t="str">
        <f>IF(G30="","",IF(G30&gt;80,'MASTER DATA'!A6,IF(G30&gt;=61,'MASTER DATA'!A7,IF(G30&gt;=41,'MASTER DATA'!A8,IF(G30&gt;=21,'MASTER DATA'!A9,'MASTER DATA'!A10)))))</f>
        <v/>
      </c>
      <c r="H31" s="71"/>
      <c r="I31" s="71"/>
      <c r="J31" s="71"/>
      <c r="K31" s="71"/>
      <c r="L31" s="72"/>
    </row>
  </sheetData>
  <mergeCells count="18">
    <mergeCell ref="B31:F31"/>
    <mergeCell ref="B7:B9"/>
    <mergeCell ref="H5:L5"/>
    <mergeCell ref="C8:G8"/>
    <mergeCell ref="H8:L8"/>
    <mergeCell ref="G30:L30"/>
    <mergeCell ref="B6:G6"/>
    <mergeCell ref="G31:L31"/>
    <mergeCell ref="B30:F30"/>
    <mergeCell ref="B5:G5"/>
    <mergeCell ref="H6:L6"/>
    <mergeCell ref="O7:O9"/>
    <mergeCell ref="M7:M9"/>
    <mergeCell ref="N7:N9"/>
    <mergeCell ref="B3:L3"/>
    <mergeCell ref="B2:L2"/>
    <mergeCell ref="C7:L7"/>
    <mergeCell ref="B4:L4"/>
  </mergeCells>
  <dataValidations count="1">
    <dataValidation type="list" allowBlank="1" showInputMessage="1" showErrorMessage="1" sqref="C10:L29" xr:uid="{26CF2BF1-38DE-4DF3-8BEB-C54647C572D2}">
      <formula1>PilihanKebersihan</formula1>
    </dataValidation>
  </dataValidations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P31"/>
  <sheetViews>
    <sheetView showGridLines="0" zoomScale="130" workbookViewId="0">
      <selection activeCell="H9" sqref="H9"/>
    </sheetView>
  </sheetViews>
  <sheetFormatPr defaultRowHeight="15" x14ac:dyDescent="0.25"/>
  <cols>
    <col min="2" max="2" width="19.42578125" customWidth="1"/>
    <col min="3" max="3" width="9.140625" customWidth="1"/>
    <col min="13" max="13" width="9.140625" hidden="1" customWidth="1"/>
  </cols>
  <sheetData>
    <row r="1" spans="2:15" ht="15.75" customHeight="1" thickBot="1" x14ac:dyDescent="0.3"/>
    <row r="2" spans="2:15" ht="15.75" x14ac:dyDescent="0.25">
      <c r="B2" s="63" t="s">
        <v>5</v>
      </c>
      <c r="C2" s="64"/>
      <c r="D2" s="64"/>
      <c r="E2" s="64"/>
      <c r="F2" s="64"/>
      <c r="G2" s="64"/>
      <c r="H2" s="64"/>
      <c r="I2" s="64"/>
      <c r="J2" s="64"/>
      <c r="K2" s="64"/>
      <c r="L2" s="64"/>
    </row>
    <row r="3" spans="2:15" ht="15.75" x14ac:dyDescent="0.25">
      <c r="B3" s="61" t="s">
        <v>76</v>
      </c>
      <c r="C3" s="62"/>
      <c r="D3" s="62"/>
      <c r="E3" s="62"/>
      <c r="F3" s="62"/>
      <c r="G3" s="62"/>
      <c r="H3" s="62"/>
      <c r="I3" s="62"/>
      <c r="J3" s="62"/>
      <c r="K3" s="62"/>
      <c r="L3" s="62"/>
    </row>
    <row r="4" spans="2:15" ht="15.75" customHeight="1" thickBot="1" x14ac:dyDescent="0.3">
      <c r="B4" s="69" t="s">
        <v>33</v>
      </c>
      <c r="C4" s="70"/>
      <c r="D4" s="70"/>
      <c r="E4" s="70"/>
      <c r="F4" s="70"/>
      <c r="G4" s="70"/>
      <c r="H4" s="70"/>
      <c r="I4" s="70"/>
      <c r="J4" s="70"/>
      <c r="K4" s="70"/>
      <c r="L4" s="70"/>
    </row>
    <row r="5" spans="2:15" x14ac:dyDescent="0.25">
      <c r="B5" s="86" t="s">
        <v>126</v>
      </c>
      <c r="C5" s="78"/>
      <c r="D5" s="78"/>
      <c r="E5" s="78"/>
      <c r="F5" s="78"/>
      <c r="G5" s="78"/>
      <c r="H5" s="77" t="s">
        <v>78</v>
      </c>
      <c r="I5" s="78"/>
      <c r="J5" s="78"/>
      <c r="K5" s="78"/>
      <c r="L5" s="79"/>
      <c r="M5" s="2"/>
      <c r="N5" s="2"/>
      <c r="O5" s="2"/>
    </row>
    <row r="6" spans="2:15" ht="15.75" customHeight="1" thickBot="1" x14ac:dyDescent="0.3">
      <c r="B6" s="81" t="s">
        <v>170</v>
      </c>
      <c r="C6" s="82"/>
      <c r="D6" s="82"/>
      <c r="E6" s="82"/>
      <c r="F6" s="82"/>
      <c r="G6" s="82"/>
      <c r="H6" s="87" t="s">
        <v>184</v>
      </c>
      <c r="I6" s="82"/>
      <c r="J6" s="82"/>
      <c r="K6" s="82"/>
      <c r="L6" s="88"/>
      <c r="M6" s="2"/>
      <c r="N6" s="2"/>
      <c r="O6" s="2"/>
    </row>
    <row r="7" spans="2:15" ht="15.75" customHeight="1" thickBot="1" x14ac:dyDescent="0.3">
      <c r="B7" s="76" t="s">
        <v>79</v>
      </c>
      <c r="C7" s="73" t="s">
        <v>80</v>
      </c>
      <c r="D7" s="74"/>
      <c r="E7" s="74"/>
      <c r="F7" s="74"/>
      <c r="G7" s="74"/>
      <c r="H7" s="74"/>
      <c r="I7" s="74"/>
      <c r="J7" s="74"/>
      <c r="K7" s="74"/>
      <c r="L7" s="74"/>
      <c r="M7" s="60" t="s">
        <v>81</v>
      </c>
      <c r="N7" s="58"/>
      <c r="O7" s="58"/>
    </row>
    <row r="8" spans="2:15" ht="15.75" customHeight="1" thickBot="1" x14ac:dyDescent="0.3">
      <c r="B8" s="74"/>
      <c r="C8" s="73" t="s">
        <v>82</v>
      </c>
      <c r="D8" s="74"/>
      <c r="E8" s="74"/>
      <c r="F8" s="74"/>
      <c r="G8" s="74"/>
      <c r="H8" s="73" t="s">
        <v>185</v>
      </c>
      <c r="I8" s="74"/>
      <c r="J8" s="74"/>
      <c r="K8" s="74"/>
      <c r="L8" s="74"/>
      <c r="M8" s="59"/>
      <c r="N8" s="59"/>
      <c r="O8" s="59"/>
    </row>
    <row r="9" spans="2:15" ht="15.75" customHeight="1" thickBot="1" x14ac:dyDescent="0.3">
      <c r="B9" s="74"/>
      <c r="C9" s="11" t="s">
        <v>83</v>
      </c>
      <c r="D9" s="11" t="s">
        <v>84</v>
      </c>
      <c r="E9" s="11" t="s">
        <v>85</v>
      </c>
      <c r="F9" s="11" t="s">
        <v>86</v>
      </c>
      <c r="G9" s="11" t="s">
        <v>87</v>
      </c>
      <c r="H9" s="11" t="s">
        <v>83</v>
      </c>
      <c r="I9" s="11" t="s">
        <v>84</v>
      </c>
      <c r="J9" s="11" t="s">
        <v>85</v>
      </c>
      <c r="K9" s="11" t="s">
        <v>86</v>
      </c>
      <c r="L9" s="11" t="s">
        <v>87</v>
      </c>
      <c r="M9" s="59"/>
      <c r="N9" s="59"/>
      <c r="O9" s="59"/>
    </row>
    <row r="10" spans="2:15" ht="16.5" customHeight="1" thickBot="1" x14ac:dyDescent="0.3">
      <c r="B10" s="12" t="s">
        <v>127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>
        <f>COUNTIF(C10:L10,'MASTER DATA'!$A$2)*0.5</f>
        <v>0</v>
      </c>
    </row>
    <row r="11" spans="2:15" ht="16.5" customHeight="1" thickBot="1" x14ac:dyDescent="0.3">
      <c r="B11" s="12" t="s">
        <v>128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>
        <f>COUNTIF(C11:L11,'MASTER DATA'!$A$2)*0.5</f>
        <v>0</v>
      </c>
    </row>
    <row r="12" spans="2:15" ht="16.5" customHeight="1" thickBot="1" x14ac:dyDescent="0.3">
      <c r="B12" s="12" t="s">
        <v>88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>
        <f>COUNTIF(C12:L12,'MASTER DATA'!$A$2)*0.5</f>
        <v>0</v>
      </c>
    </row>
    <row r="13" spans="2:15" ht="16.5" customHeight="1" thickBot="1" x14ac:dyDescent="0.3">
      <c r="B13" s="12" t="s">
        <v>112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>
        <f>COUNTIF(C13:L13,'MASTER DATA'!$A$2)*0.5</f>
        <v>0</v>
      </c>
    </row>
    <row r="14" spans="2:15" ht="16.5" customHeight="1" thickBot="1" x14ac:dyDescent="0.3">
      <c r="B14" s="12" t="s">
        <v>129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>
        <f>COUNTIF(C14:L14,'MASTER DATA'!$A$2)*0.5</f>
        <v>0</v>
      </c>
    </row>
    <row r="15" spans="2:15" ht="16.5" customHeight="1" thickBot="1" x14ac:dyDescent="0.3">
      <c r="B15" s="12" t="s">
        <v>130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>
        <f>COUNTIF(C15:L15,'MASTER DATA'!$A$2)*0.5</f>
        <v>0</v>
      </c>
    </row>
    <row r="16" spans="2:15" ht="16.5" customHeight="1" thickBot="1" x14ac:dyDescent="0.3">
      <c r="B16" s="12" t="s">
        <v>131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>
        <f>COUNTIF(C16:L16,'MASTER DATA'!$A$2)*0.5</f>
        <v>0</v>
      </c>
    </row>
    <row r="17" spans="2:16" ht="16.5" customHeight="1" thickBot="1" x14ac:dyDescent="0.3">
      <c r="B17" s="12" t="s">
        <v>119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>
        <f>COUNTIF(C17:L17,'MASTER DATA'!$A$2)*0.5</f>
        <v>0</v>
      </c>
    </row>
    <row r="18" spans="2:16" ht="16.5" customHeight="1" thickBot="1" x14ac:dyDescent="0.3">
      <c r="B18" s="12" t="s">
        <v>117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>
        <f>COUNTIF(C18:L18,'MASTER DATA'!$A$2)*0.5</f>
        <v>0</v>
      </c>
    </row>
    <row r="19" spans="2:16" ht="16.5" customHeight="1" thickBot="1" x14ac:dyDescent="0.3">
      <c r="B19" s="12" t="s">
        <v>132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>
        <f>COUNTIF(C19:L19,'MASTER DATA'!$A$2)*0.5</f>
        <v>0</v>
      </c>
    </row>
    <row r="20" spans="2:16" ht="16.5" customHeight="1" thickBot="1" x14ac:dyDescent="0.3">
      <c r="B20" s="12" t="s">
        <v>124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>
        <f>COUNTIF(C20:L20,'MASTER DATA'!$A$2)*0.5</f>
        <v>0</v>
      </c>
    </row>
    <row r="21" spans="2:16" ht="16.5" customHeight="1" thickBot="1" x14ac:dyDescent="0.3">
      <c r="B21" s="12" t="s">
        <v>125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>
        <f>COUNTIF(C21:L21,'MASTER DATA'!$A$2)*0.5</f>
        <v>0</v>
      </c>
    </row>
    <row r="22" spans="2:16" ht="16.5" customHeight="1" thickBot="1" x14ac:dyDescent="0.3">
      <c r="B22" s="12" t="s">
        <v>133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>
        <f>COUNTIF(C22:L22,'MASTER DATA'!$A$2)*0.5</f>
        <v>0</v>
      </c>
    </row>
    <row r="23" spans="2:16" ht="16.5" customHeight="1" thickBot="1" x14ac:dyDescent="0.3">
      <c r="B23" s="12" t="s">
        <v>134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>
        <f>COUNTIF(C23:L23,'MASTER DATA'!$A$2)*0.5</f>
        <v>0</v>
      </c>
      <c r="P23" t="s">
        <v>102</v>
      </c>
    </row>
    <row r="24" spans="2:16" ht="16.5" customHeight="1" thickBot="1" x14ac:dyDescent="0.3">
      <c r="B24" s="12" t="s">
        <v>135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>
        <f>COUNTIF(C24:L24,'MASTER DATA'!$A$2)*0.5</f>
        <v>0</v>
      </c>
    </row>
    <row r="25" spans="2:16" ht="16.5" customHeight="1" thickBot="1" x14ac:dyDescent="0.3">
      <c r="B25" s="12" t="s">
        <v>121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>
        <f>COUNTIF(C25:L25,'MASTER DATA'!$A$2)*0.5</f>
        <v>0</v>
      </c>
    </row>
    <row r="26" spans="2:16" ht="16.5" customHeight="1" thickBot="1" x14ac:dyDescent="0.3">
      <c r="B26" s="12" t="s">
        <v>122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>
        <f>COUNTIF(C26:L26,'MASTER DATA'!$A$2)*0.5</f>
        <v>0</v>
      </c>
    </row>
    <row r="27" spans="2:16" ht="16.5" customHeight="1" thickBot="1" x14ac:dyDescent="0.3">
      <c r="B27" s="12" t="s">
        <v>136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>
        <f>COUNTIF(C27:L27,'MASTER DATA'!$A$2)*0.5</f>
        <v>0</v>
      </c>
    </row>
    <row r="28" spans="2:16" ht="16.5" customHeight="1" thickBot="1" x14ac:dyDescent="0.3">
      <c r="B28" s="12" t="s">
        <v>137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>
        <f>COUNTIF(C28:L28,'MASTER DATA'!$A$2)*0.5</f>
        <v>0</v>
      </c>
    </row>
    <row r="29" spans="2:16" ht="16.5" customHeight="1" thickBot="1" x14ac:dyDescent="0.3">
      <c r="B29" s="12" t="s">
        <v>138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>
        <f>COUNTIF(C29:L29,'MASTER DATA'!$A$2)*0.5</f>
        <v>0</v>
      </c>
    </row>
    <row r="30" spans="2:16" ht="15.75" thickBot="1" x14ac:dyDescent="0.3">
      <c r="B30" s="75" t="s">
        <v>106</v>
      </c>
      <c r="C30" s="74"/>
      <c r="D30" s="74"/>
      <c r="E30" s="74"/>
      <c r="F30" s="74"/>
      <c r="G30" s="80" t="str">
        <f>IF(COUNTIF(C10:L29,'MASTER DATA'!$A$2)=0,"",SUM(M10:M29))</f>
        <v/>
      </c>
      <c r="H30" s="74"/>
      <c r="I30" s="74"/>
      <c r="J30" s="74"/>
      <c r="K30" s="74"/>
      <c r="L30" s="74"/>
    </row>
    <row r="31" spans="2:16" ht="15.75" customHeight="1" thickBot="1" x14ac:dyDescent="0.3">
      <c r="B31" s="75" t="s">
        <v>107</v>
      </c>
      <c r="C31" s="74"/>
      <c r="D31" s="74"/>
      <c r="E31" s="74"/>
      <c r="F31" s="74"/>
      <c r="G31" s="83" t="str">
        <f>IF(G30="","",IF(G30&gt;80,'MASTER DATA'!A6,IF(G30&gt;=61,'MASTER DATA'!A7,IF(G30&gt;=41,'MASTER DATA'!A8,IF(G30&gt;=21,'MASTER DATA'!A9,'MASTER DATA'!A10)))))</f>
        <v/>
      </c>
      <c r="H31" s="84"/>
      <c r="I31" s="84"/>
      <c r="J31" s="84"/>
      <c r="K31" s="84"/>
      <c r="L31" s="85"/>
    </row>
  </sheetData>
  <mergeCells count="18">
    <mergeCell ref="B31:F31"/>
    <mergeCell ref="B7:B9"/>
    <mergeCell ref="H5:L5"/>
    <mergeCell ref="C8:G8"/>
    <mergeCell ref="H8:L8"/>
    <mergeCell ref="G30:L30"/>
    <mergeCell ref="B6:G6"/>
    <mergeCell ref="G31:L31"/>
    <mergeCell ref="B30:F30"/>
    <mergeCell ref="B5:G5"/>
    <mergeCell ref="H6:L6"/>
    <mergeCell ref="O7:O9"/>
    <mergeCell ref="M7:M9"/>
    <mergeCell ref="N7:N9"/>
    <mergeCell ref="B3:L3"/>
    <mergeCell ref="B2:L2"/>
    <mergeCell ref="C7:L7"/>
    <mergeCell ref="B4:L4"/>
  </mergeCells>
  <dataValidations count="1">
    <dataValidation type="list" allowBlank="1" showInputMessage="1" showErrorMessage="1" sqref="C10:L29" xr:uid="{7563E468-E7E5-49E7-94E0-CD99C5995C10}">
      <formula1>PilihanKebersihan</formula1>
    </dataValidation>
  </dataValidations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38"/>
  <sheetViews>
    <sheetView topLeftCell="C1" workbookViewId="0">
      <selection activeCell="X13" sqref="X13"/>
    </sheetView>
  </sheetViews>
  <sheetFormatPr defaultRowHeight="15" x14ac:dyDescent="0.25"/>
  <cols>
    <col min="1" max="1" width="16" customWidth="1"/>
    <col min="2" max="2" width="13" customWidth="1"/>
    <col min="4" max="4" width="9" customWidth="1"/>
    <col min="5" max="5" width="38" customWidth="1"/>
    <col min="6" max="6" width="11" customWidth="1"/>
    <col min="7" max="7" width="36" customWidth="1"/>
    <col min="8" max="8" width="9" customWidth="1"/>
    <col min="9" max="9" width="12" customWidth="1"/>
    <col min="10" max="10" width="3" customWidth="1"/>
    <col min="11" max="11" width="9" customWidth="1"/>
    <col min="12" max="12" width="11" customWidth="1"/>
    <col min="13" max="13" width="22" customWidth="1"/>
    <col min="14" max="23" width="9.42578125" customWidth="1"/>
    <col min="24" max="24" width="8" customWidth="1"/>
    <col min="25" max="25" width="3" customWidth="1"/>
    <col min="26" max="26" width="16" customWidth="1"/>
  </cols>
  <sheetData>
    <row r="1" spans="1:26" x14ac:dyDescent="0.25">
      <c r="A1" s="22" t="s">
        <v>139</v>
      </c>
      <c r="B1" s="22" t="s">
        <v>140</v>
      </c>
      <c r="D1" s="25" t="s">
        <v>40</v>
      </c>
      <c r="E1" s="25" t="s">
        <v>171</v>
      </c>
      <c r="F1" s="25" t="s">
        <v>172</v>
      </c>
      <c r="G1" s="25" t="s">
        <v>173</v>
      </c>
      <c r="H1" s="25" t="s">
        <v>81</v>
      </c>
      <c r="I1" s="25" t="s">
        <v>56</v>
      </c>
      <c r="K1" s="26" t="s">
        <v>141</v>
      </c>
      <c r="L1" s="26" t="s">
        <v>50</v>
      </c>
      <c r="M1" s="26" t="s">
        <v>52</v>
      </c>
      <c r="N1" s="26" t="s">
        <v>142</v>
      </c>
      <c r="O1" s="26" t="s">
        <v>143</v>
      </c>
      <c r="P1" s="26" t="s">
        <v>144</v>
      </c>
      <c r="Q1" s="26" t="s">
        <v>145</v>
      </c>
      <c r="R1" s="26" t="s">
        <v>146</v>
      </c>
      <c r="S1" s="26" t="s">
        <v>147</v>
      </c>
      <c r="T1" s="26" t="s">
        <v>148</v>
      </c>
      <c r="U1" s="26" t="s">
        <v>149</v>
      </c>
      <c r="V1" s="26" t="s">
        <v>150</v>
      </c>
      <c r="W1" s="26" t="s">
        <v>151</v>
      </c>
      <c r="X1" s="26" t="s">
        <v>53</v>
      </c>
      <c r="Z1" s="8"/>
    </row>
    <row r="2" spans="1:26" x14ac:dyDescent="0.25">
      <c r="A2" s="21" t="s">
        <v>152</v>
      </c>
      <c r="B2" s="21">
        <v>0.5</v>
      </c>
      <c r="D2" s="24">
        <v>1</v>
      </c>
      <c r="E2" s="24" t="s">
        <v>166</v>
      </c>
      <c r="F2" s="24" t="s">
        <v>31</v>
      </c>
      <c r="G2" s="24" t="s">
        <v>167</v>
      </c>
      <c r="H2" s="24">
        <v>72.5</v>
      </c>
      <c r="I2" s="24" t="s">
        <v>156</v>
      </c>
      <c r="K2" s="24">
        <v>1</v>
      </c>
      <c r="L2" s="24" t="s">
        <v>31</v>
      </c>
      <c r="M2" s="24" t="s">
        <v>88</v>
      </c>
      <c r="N2" s="27" t="s">
        <v>152</v>
      </c>
      <c r="O2" s="27" t="s">
        <v>153</v>
      </c>
      <c r="P2" s="27" t="s">
        <v>152</v>
      </c>
      <c r="Q2" s="27" t="s">
        <v>152</v>
      </c>
      <c r="R2" s="27" t="s">
        <v>152</v>
      </c>
      <c r="S2" s="27" t="s">
        <v>152</v>
      </c>
      <c r="T2" s="27" t="s">
        <v>152</v>
      </c>
      <c r="U2" s="27" t="s">
        <v>152</v>
      </c>
      <c r="V2" s="27" t="s">
        <v>152</v>
      </c>
      <c r="W2" s="27" t="s">
        <v>152</v>
      </c>
      <c r="X2" s="24">
        <f t="shared" ref="X2:X33" si="0">COUNTIF(N2:W2,$A$2)*$B$2</f>
        <v>4.5</v>
      </c>
      <c r="Z2" s="2" t="str">
        <f>IF(ROW()-1&lt;=MIN(100,MAX(1,MAX($D$2:$D$5000))),"Minggu "&amp;(ROW()-1),"")</f>
        <v>Minggu 1</v>
      </c>
    </row>
    <row r="3" spans="1:26" x14ac:dyDescent="0.25">
      <c r="A3" s="21" t="s">
        <v>153</v>
      </c>
      <c r="B3" s="21">
        <v>0</v>
      </c>
      <c r="D3" s="24">
        <v>1</v>
      </c>
      <c r="E3" s="24" t="s">
        <v>166</v>
      </c>
      <c r="F3" s="24" t="s">
        <v>32</v>
      </c>
      <c r="G3" s="24" t="s">
        <v>168</v>
      </c>
      <c r="H3" s="24">
        <v>79</v>
      </c>
      <c r="I3" s="24" t="s">
        <v>156</v>
      </c>
      <c r="K3" s="24">
        <v>1</v>
      </c>
      <c r="L3" s="24" t="s">
        <v>31</v>
      </c>
      <c r="M3" s="24" t="s">
        <v>89</v>
      </c>
      <c r="N3" s="27" t="s">
        <v>152</v>
      </c>
      <c r="O3" s="27" t="s">
        <v>152</v>
      </c>
      <c r="P3" s="27" t="s">
        <v>152</v>
      </c>
      <c r="Q3" s="27" t="s">
        <v>152</v>
      </c>
      <c r="R3" s="27" t="s">
        <v>152</v>
      </c>
      <c r="S3" s="27" t="s">
        <v>152</v>
      </c>
      <c r="T3" s="27" t="s">
        <v>152</v>
      </c>
      <c r="U3" s="27" t="s">
        <v>152</v>
      </c>
      <c r="V3" s="27" t="s">
        <v>152</v>
      </c>
      <c r="W3" s="27" t="s">
        <v>152</v>
      </c>
      <c r="X3" s="24">
        <f t="shared" si="0"/>
        <v>5</v>
      </c>
      <c r="Z3" s="2" t="str">
        <f t="shared" ref="Z3:Z66" si="1">IF(ROW()-1&lt;=MIN(100,MAX(1,MAX($D$2:$D$5000))),"Minggu "&amp;(ROW()-1),"")</f>
        <v/>
      </c>
    </row>
    <row r="4" spans="1:26" x14ac:dyDescent="0.25">
      <c r="A4" s="1"/>
      <c r="B4" s="1"/>
      <c r="D4" s="24">
        <v>1</v>
      </c>
      <c r="E4" s="24" t="s">
        <v>166</v>
      </c>
      <c r="F4" s="24" t="s">
        <v>33</v>
      </c>
      <c r="G4" s="24" t="s">
        <v>169</v>
      </c>
      <c r="H4" s="24">
        <v>90.5</v>
      </c>
      <c r="I4" s="24" t="s">
        <v>154</v>
      </c>
      <c r="K4" s="24">
        <v>1</v>
      </c>
      <c r="L4" s="24" t="s">
        <v>31</v>
      </c>
      <c r="M4" s="24" t="s">
        <v>90</v>
      </c>
      <c r="N4" s="27" t="s">
        <v>152</v>
      </c>
      <c r="O4" s="27" t="s">
        <v>152</v>
      </c>
      <c r="P4" s="27" t="s">
        <v>152</v>
      </c>
      <c r="Q4" s="27" t="s">
        <v>152</v>
      </c>
      <c r="R4" s="27" t="s">
        <v>152</v>
      </c>
      <c r="S4" s="27" t="s">
        <v>152</v>
      </c>
      <c r="T4" s="27" t="s">
        <v>152</v>
      </c>
      <c r="U4" s="27" t="s">
        <v>152</v>
      </c>
      <c r="V4" s="27" t="s">
        <v>152</v>
      </c>
      <c r="W4" s="27" t="s">
        <v>152</v>
      </c>
      <c r="X4" s="24">
        <f t="shared" si="0"/>
        <v>5</v>
      </c>
      <c r="Z4" s="2" t="str">
        <f t="shared" si="1"/>
        <v/>
      </c>
    </row>
    <row r="5" spans="1:26" x14ac:dyDescent="0.25">
      <c r="A5" s="23" t="s">
        <v>56</v>
      </c>
      <c r="B5" s="23" t="s">
        <v>140</v>
      </c>
      <c r="K5" s="24">
        <v>1</v>
      </c>
      <c r="L5" s="24" t="s">
        <v>31</v>
      </c>
      <c r="M5" s="24" t="s">
        <v>91</v>
      </c>
      <c r="N5" s="27" t="s">
        <v>152</v>
      </c>
      <c r="O5" s="27" t="s">
        <v>153</v>
      </c>
      <c r="P5" s="27" t="s">
        <v>152</v>
      </c>
      <c r="Q5" s="27" t="s">
        <v>152</v>
      </c>
      <c r="R5" s="27" t="s">
        <v>153</v>
      </c>
      <c r="S5" s="27" t="s">
        <v>152</v>
      </c>
      <c r="T5" s="27" t="s">
        <v>152</v>
      </c>
      <c r="U5" s="27" t="s">
        <v>152</v>
      </c>
      <c r="V5" s="27" t="s">
        <v>152</v>
      </c>
      <c r="W5" s="27" t="s">
        <v>152</v>
      </c>
      <c r="X5" s="24">
        <f t="shared" si="0"/>
        <v>4</v>
      </c>
      <c r="Z5" s="2" t="str">
        <f t="shared" si="1"/>
        <v/>
      </c>
    </row>
    <row r="6" spans="1:26" x14ac:dyDescent="0.25">
      <c r="A6" s="21" t="s">
        <v>154</v>
      </c>
      <c r="B6" s="21" t="s">
        <v>155</v>
      </c>
      <c r="K6" s="24">
        <v>1</v>
      </c>
      <c r="L6" s="24" t="s">
        <v>31</v>
      </c>
      <c r="M6" s="24" t="s">
        <v>92</v>
      </c>
      <c r="N6" s="27" t="s">
        <v>153</v>
      </c>
      <c r="O6" s="27" t="s">
        <v>152</v>
      </c>
      <c r="P6" s="27" t="s">
        <v>152</v>
      </c>
      <c r="Q6" s="27" t="s">
        <v>152</v>
      </c>
      <c r="R6" s="27" t="s">
        <v>152</v>
      </c>
      <c r="S6" s="27" t="s">
        <v>152</v>
      </c>
      <c r="T6" s="27" t="s">
        <v>152</v>
      </c>
      <c r="U6" s="27" t="s">
        <v>152</v>
      </c>
      <c r="V6" s="27" t="s">
        <v>152</v>
      </c>
      <c r="W6" s="27" t="s">
        <v>152</v>
      </c>
      <c r="X6" s="24">
        <f t="shared" si="0"/>
        <v>4.5</v>
      </c>
      <c r="Z6" s="2" t="str">
        <f t="shared" si="1"/>
        <v/>
      </c>
    </row>
    <row r="7" spans="1:26" x14ac:dyDescent="0.25">
      <c r="A7" s="21" t="s">
        <v>156</v>
      </c>
      <c r="B7" s="21" t="s">
        <v>157</v>
      </c>
      <c r="K7" s="24">
        <v>1</v>
      </c>
      <c r="L7" s="24" t="s">
        <v>31</v>
      </c>
      <c r="M7" s="24" t="s">
        <v>93</v>
      </c>
      <c r="N7" s="27" t="s">
        <v>152</v>
      </c>
      <c r="O7" s="27" t="s">
        <v>152</v>
      </c>
      <c r="P7" s="27" t="s">
        <v>152</v>
      </c>
      <c r="Q7" s="27" t="s">
        <v>152</v>
      </c>
      <c r="R7" s="27" t="s">
        <v>152</v>
      </c>
      <c r="S7" s="27" t="s">
        <v>152</v>
      </c>
      <c r="T7" s="27" t="s">
        <v>152</v>
      </c>
      <c r="U7" s="27" t="s">
        <v>152</v>
      </c>
      <c r="V7" s="27" t="s">
        <v>152</v>
      </c>
      <c r="W7" s="27" t="s">
        <v>152</v>
      </c>
      <c r="X7" s="24">
        <f t="shared" si="0"/>
        <v>5</v>
      </c>
      <c r="Z7" s="2" t="str">
        <f t="shared" si="1"/>
        <v/>
      </c>
    </row>
    <row r="8" spans="1:26" x14ac:dyDescent="0.25">
      <c r="A8" s="21" t="s">
        <v>158</v>
      </c>
      <c r="B8" s="21" t="s">
        <v>159</v>
      </c>
      <c r="K8" s="24">
        <v>1</v>
      </c>
      <c r="L8" s="24" t="s">
        <v>31</v>
      </c>
      <c r="M8" s="24" t="s">
        <v>94</v>
      </c>
      <c r="N8" s="27" t="s">
        <v>152</v>
      </c>
      <c r="O8" s="27" t="s">
        <v>152</v>
      </c>
      <c r="P8" s="27" t="s">
        <v>152</v>
      </c>
      <c r="Q8" s="27" t="s">
        <v>152</v>
      </c>
      <c r="R8" s="27" t="s">
        <v>152</v>
      </c>
      <c r="S8" s="27" t="s">
        <v>152</v>
      </c>
      <c r="T8" s="27" t="s">
        <v>153</v>
      </c>
      <c r="U8" s="27" t="s">
        <v>152</v>
      </c>
      <c r="V8" s="27" t="s">
        <v>152</v>
      </c>
      <c r="W8" s="27" t="s">
        <v>152</v>
      </c>
      <c r="X8" s="24">
        <f t="shared" si="0"/>
        <v>4.5</v>
      </c>
      <c r="Z8" s="2" t="str">
        <f t="shared" si="1"/>
        <v/>
      </c>
    </row>
    <row r="9" spans="1:26" x14ac:dyDescent="0.25">
      <c r="A9" s="21" t="s">
        <v>160</v>
      </c>
      <c r="B9" s="21" t="s">
        <v>161</v>
      </c>
      <c r="K9" s="24">
        <v>1</v>
      </c>
      <c r="L9" s="24" t="s">
        <v>31</v>
      </c>
      <c r="M9" s="24" t="s">
        <v>95</v>
      </c>
      <c r="N9" s="27" t="s">
        <v>153</v>
      </c>
      <c r="O9" s="27" t="s">
        <v>153</v>
      </c>
      <c r="P9" s="27" t="s">
        <v>152</v>
      </c>
      <c r="Q9" s="27" t="s">
        <v>153</v>
      </c>
      <c r="R9" s="27" t="s">
        <v>153</v>
      </c>
      <c r="S9" s="27" t="s">
        <v>153</v>
      </c>
      <c r="T9" s="27" t="s">
        <v>152</v>
      </c>
      <c r="U9" s="27" t="s">
        <v>152</v>
      </c>
      <c r="V9" s="27" t="s">
        <v>152</v>
      </c>
      <c r="W9" s="27" t="s">
        <v>152</v>
      </c>
      <c r="X9" s="24">
        <f t="shared" si="0"/>
        <v>2.5</v>
      </c>
      <c r="Z9" s="2" t="str">
        <f t="shared" si="1"/>
        <v/>
      </c>
    </row>
    <row r="10" spans="1:26" x14ac:dyDescent="0.25">
      <c r="A10" s="21" t="s">
        <v>162</v>
      </c>
      <c r="B10" s="21" t="s">
        <v>163</v>
      </c>
      <c r="K10" s="24">
        <v>1</v>
      </c>
      <c r="L10" s="24" t="s">
        <v>31</v>
      </c>
      <c r="M10" s="24" t="s">
        <v>96</v>
      </c>
      <c r="N10" s="27" t="s">
        <v>152</v>
      </c>
      <c r="O10" s="27" t="s">
        <v>152</v>
      </c>
      <c r="P10" s="27" t="s">
        <v>152</v>
      </c>
      <c r="Q10" s="27" t="s">
        <v>152</v>
      </c>
      <c r="R10" s="27" t="s">
        <v>152</v>
      </c>
      <c r="S10" s="27" t="s">
        <v>152</v>
      </c>
      <c r="T10" s="27" t="s">
        <v>152</v>
      </c>
      <c r="U10" s="27" t="s">
        <v>152</v>
      </c>
      <c r="V10" s="27" t="s">
        <v>152</v>
      </c>
      <c r="W10" s="27" t="s">
        <v>152</v>
      </c>
      <c r="X10" s="24">
        <f t="shared" si="0"/>
        <v>5</v>
      </c>
      <c r="Z10" s="2" t="str">
        <f t="shared" si="1"/>
        <v/>
      </c>
    </row>
    <row r="11" spans="1:26" x14ac:dyDescent="0.25">
      <c r="K11" s="24">
        <v>1</v>
      </c>
      <c r="L11" s="24" t="s">
        <v>31</v>
      </c>
      <c r="M11" s="24" t="s">
        <v>97</v>
      </c>
      <c r="N11" s="27" t="s">
        <v>152</v>
      </c>
      <c r="O11" s="27" t="s">
        <v>152</v>
      </c>
      <c r="P11" s="27" t="s">
        <v>152</v>
      </c>
      <c r="Q11" s="27" t="s">
        <v>152</v>
      </c>
      <c r="R11" s="27" t="s">
        <v>152</v>
      </c>
      <c r="S11" s="27" t="s">
        <v>152</v>
      </c>
      <c r="T11" s="27" t="s">
        <v>152</v>
      </c>
      <c r="U11" s="27" t="s">
        <v>152</v>
      </c>
      <c r="V11" s="27" t="s">
        <v>152</v>
      </c>
      <c r="W11" s="27" t="s">
        <v>152</v>
      </c>
      <c r="X11" s="24">
        <f t="shared" si="0"/>
        <v>5</v>
      </c>
      <c r="Z11" s="2" t="str">
        <f t="shared" si="1"/>
        <v/>
      </c>
    </row>
    <row r="12" spans="1:26" x14ac:dyDescent="0.25">
      <c r="A12" s="9" t="s">
        <v>164</v>
      </c>
      <c r="K12" s="24">
        <v>1</v>
      </c>
      <c r="L12" s="24" t="s">
        <v>31</v>
      </c>
      <c r="M12" s="24" t="s">
        <v>98</v>
      </c>
      <c r="N12" s="27" t="s">
        <v>152</v>
      </c>
      <c r="O12" s="27" t="s">
        <v>152</v>
      </c>
      <c r="P12" s="27" t="s">
        <v>152</v>
      </c>
      <c r="Q12" s="27" t="s">
        <v>153</v>
      </c>
      <c r="R12" s="27" t="s">
        <v>152</v>
      </c>
      <c r="S12" s="27" t="s">
        <v>152</v>
      </c>
      <c r="T12" s="27" t="s">
        <v>152</v>
      </c>
      <c r="U12" s="27" t="s">
        <v>153</v>
      </c>
      <c r="V12" s="27" t="s">
        <v>152</v>
      </c>
      <c r="W12" s="27" t="s">
        <v>152</v>
      </c>
      <c r="X12" s="24">
        <f t="shared" si="0"/>
        <v>4</v>
      </c>
      <c r="Z12" s="2" t="str">
        <f t="shared" si="1"/>
        <v/>
      </c>
    </row>
    <row r="13" spans="1:26" x14ac:dyDescent="0.25">
      <c r="A13" t="s">
        <v>165</v>
      </c>
      <c r="B13" s="10">
        <v>46293</v>
      </c>
      <c r="K13" s="24">
        <v>1</v>
      </c>
      <c r="L13" s="24" t="s">
        <v>31</v>
      </c>
      <c r="M13" s="24" t="s">
        <v>99</v>
      </c>
      <c r="N13" s="27" t="s">
        <v>152</v>
      </c>
      <c r="O13" s="27" t="s">
        <v>152</v>
      </c>
      <c r="P13" s="27" t="s">
        <v>152</v>
      </c>
      <c r="Q13" s="27" t="s">
        <v>152</v>
      </c>
      <c r="R13" s="27" t="s">
        <v>152</v>
      </c>
      <c r="S13" s="27" t="s">
        <v>152</v>
      </c>
      <c r="T13" s="27" t="s">
        <v>152</v>
      </c>
      <c r="U13" s="27" t="s">
        <v>152</v>
      </c>
      <c r="V13" s="27" t="s">
        <v>152</v>
      </c>
      <c r="W13" s="27" t="s">
        <v>152</v>
      </c>
      <c r="X13" s="24">
        <f t="shared" si="0"/>
        <v>5</v>
      </c>
      <c r="Z13" s="2" t="str">
        <f t="shared" si="1"/>
        <v/>
      </c>
    </row>
    <row r="14" spans="1:26" x14ac:dyDescent="0.25">
      <c r="K14" s="24">
        <v>1</v>
      </c>
      <c r="L14" s="24" t="s">
        <v>31</v>
      </c>
      <c r="M14" s="24" t="s">
        <v>100</v>
      </c>
      <c r="N14" s="27" t="s">
        <v>152</v>
      </c>
      <c r="O14" s="27" t="s">
        <v>152</v>
      </c>
      <c r="P14" s="27" t="s">
        <v>152</v>
      </c>
      <c r="Q14" s="27" t="s">
        <v>152</v>
      </c>
      <c r="R14" s="27" t="s">
        <v>152</v>
      </c>
      <c r="S14" s="27" t="s">
        <v>152</v>
      </c>
      <c r="T14" s="27" t="s">
        <v>152</v>
      </c>
      <c r="U14" s="27" t="s">
        <v>152</v>
      </c>
      <c r="V14" s="27" t="s">
        <v>152</v>
      </c>
      <c r="W14" s="27" t="s">
        <v>152</v>
      </c>
      <c r="X14" s="24">
        <f t="shared" si="0"/>
        <v>5</v>
      </c>
      <c r="Z14" s="2" t="str">
        <f t="shared" si="1"/>
        <v/>
      </c>
    </row>
    <row r="15" spans="1:26" x14ac:dyDescent="0.25">
      <c r="K15" s="24">
        <v>1</v>
      </c>
      <c r="L15" s="24" t="s">
        <v>31</v>
      </c>
      <c r="M15" s="24" t="s">
        <v>101</v>
      </c>
      <c r="N15" s="27" t="s">
        <v>152</v>
      </c>
      <c r="O15" s="27" t="s">
        <v>153</v>
      </c>
      <c r="P15" s="27" t="s">
        <v>153</v>
      </c>
      <c r="Q15" s="27" t="s">
        <v>153</v>
      </c>
      <c r="R15" s="27" t="s">
        <v>153</v>
      </c>
      <c r="S15" s="27" t="s">
        <v>152</v>
      </c>
      <c r="T15" s="27" t="s">
        <v>153</v>
      </c>
      <c r="U15" s="27" t="s">
        <v>153</v>
      </c>
      <c r="V15" s="27" t="s">
        <v>152</v>
      </c>
      <c r="W15" s="27" t="s">
        <v>152</v>
      </c>
      <c r="X15" s="24">
        <f t="shared" si="0"/>
        <v>2</v>
      </c>
      <c r="Z15" s="2" t="str">
        <f t="shared" si="1"/>
        <v/>
      </c>
    </row>
    <row r="16" spans="1:26" x14ac:dyDescent="0.25">
      <c r="K16" s="24">
        <v>1</v>
      </c>
      <c r="L16" s="24" t="s">
        <v>31</v>
      </c>
      <c r="M16" s="24" t="s">
        <v>103</v>
      </c>
      <c r="N16" s="27" t="s">
        <v>152</v>
      </c>
      <c r="O16" s="27" t="s">
        <v>153</v>
      </c>
      <c r="P16" s="27" t="s">
        <v>152</v>
      </c>
      <c r="Q16" s="27" t="s">
        <v>153</v>
      </c>
      <c r="R16" s="27" t="s">
        <v>152</v>
      </c>
      <c r="S16" s="27" t="s">
        <v>152</v>
      </c>
      <c r="T16" s="27" t="s">
        <v>152</v>
      </c>
      <c r="U16" s="27" t="s">
        <v>152</v>
      </c>
      <c r="V16" s="27" t="s">
        <v>152</v>
      </c>
      <c r="W16" s="27" t="s">
        <v>152</v>
      </c>
      <c r="X16" s="24">
        <f t="shared" si="0"/>
        <v>4</v>
      </c>
      <c r="Z16" s="2" t="str">
        <f t="shared" si="1"/>
        <v/>
      </c>
    </row>
    <row r="17" spans="11:26" x14ac:dyDescent="0.25">
      <c r="K17" s="24">
        <v>1</v>
      </c>
      <c r="L17" s="24" t="s">
        <v>31</v>
      </c>
      <c r="M17" s="24" t="s">
        <v>104</v>
      </c>
      <c r="N17" s="27" t="s">
        <v>153</v>
      </c>
      <c r="O17" s="27" t="s">
        <v>153</v>
      </c>
      <c r="P17" s="27" t="s">
        <v>153</v>
      </c>
      <c r="Q17" s="27" t="s">
        <v>153</v>
      </c>
      <c r="R17" s="27" t="s">
        <v>152</v>
      </c>
      <c r="S17" s="27" t="s">
        <v>152</v>
      </c>
      <c r="T17" s="27" t="s">
        <v>152</v>
      </c>
      <c r="U17" s="27" t="s">
        <v>152</v>
      </c>
      <c r="V17" s="27" t="s">
        <v>152</v>
      </c>
      <c r="W17" s="27" t="s">
        <v>152</v>
      </c>
      <c r="X17" s="24">
        <f t="shared" si="0"/>
        <v>3</v>
      </c>
      <c r="Z17" s="2" t="str">
        <f t="shared" si="1"/>
        <v/>
      </c>
    </row>
    <row r="18" spans="11:26" x14ac:dyDescent="0.25">
      <c r="K18" s="24">
        <v>1</v>
      </c>
      <c r="L18" s="24" t="s">
        <v>31</v>
      </c>
      <c r="M18" s="24" t="s">
        <v>105</v>
      </c>
      <c r="N18" s="27" t="s">
        <v>152</v>
      </c>
      <c r="O18" s="27" t="s">
        <v>153</v>
      </c>
      <c r="P18" s="27" t="s">
        <v>152</v>
      </c>
      <c r="Q18" s="27" t="s">
        <v>152</v>
      </c>
      <c r="R18" s="27" t="s">
        <v>152</v>
      </c>
      <c r="S18" s="27" t="s">
        <v>152</v>
      </c>
      <c r="T18" s="27" t="s">
        <v>152</v>
      </c>
      <c r="U18" s="27" t="s">
        <v>152</v>
      </c>
      <c r="V18" s="27" t="s">
        <v>152</v>
      </c>
      <c r="W18" s="27" t="s">
        <v>152</v>
      </c>
      <c r="X18" s="24">
        <f t="shared" si="0"/>
        <v>4.5</v>
      </c>
      <c r="Z18" s="2" t="str">
        <f t="shared" si="1"/>
        <v/>
      </c>
    </row>
    <row r="19" spans="11:26" x14ac:dyDescent="0.25">
      <c r="K19" s="24">
        <v>1</v>
      </c>
      <c r="L19" s="24" t="s">
        <v>32</v>
      </c>
      <c r="M19" s="24" t="s">
        <v>109</v>
      </c>
      <c r="N19" s="27" t="s">
        <v>152</v>
      </c>
      <c r="O19" s="27" t="s">
        <v>152</v>
      </c>
      <c r="P19" s="27" t="s">
        <v>152</v>
      </c>
      <c r="Q19" s="27" t="s">
        <v>152</v>
      </c>
      <c r="R19" s="27" t="s">
        <v>152</v>
      </c>
      <c r="S19" s="27" t="s">
        <v>152</v>
      </c>
      <c r="T19" s="27" t="s">
        <v>152</v>
      </c>
      <c r="U19" s="27" t="s">
        <v>152</v>
      </c>
      <c r="V19" s="27" t="s">
        <v>152</v>
      </c>
      <c r="W19" s="27" t="s">
        <v>152</v>
      </c>
      <c r="X19" s="24">
        <f t="shared" si="0"/>
        <v>5</v>
      </c>
      <c r="Z19" s="2" t="str">
        <f t="shared" si="1"/>
        <v/>
      </c>
    </row>
    <row r="20" spans="11:26" x14ac:dyDescent="0.25">
      <c r="K20" s="24">
        <v>1</v>
      </c>
      <c r="L20" s="24" t="s">
        <v>32</v>
      </c>
      <c r="M20" s="24" t="s">
        <v>110</v>
      </c>
      <c r="N20" s="27" t="s">
        <v>152</v>
      </c>
      <c r="O20" s="27" t="s">
        <v>152</v>
      </c>
      <c r="P20" s="27" t="s">
        <v>152</v>
      </c>
      <c r="Q20" s="27" t="s">
        <v>152</v>
      </c>
      <c r="R20" s="27" t="s">
        <v>152</v>
      </c>
      <c r="S20" s="27" t="s">
        <v>152</v>
      </c>
      <c r="T20" s="27" t="s">
        <v>153</v>
      </c>
      <c r="U20" s="27" t="s">
        <v>153</v>
      </c>
      <c r="V20" s="27" t="s">
        <v>152</v>
      </c>
      <c r="W20" s="27" t="s">
        <v>152</v>
      </c>
      <c r="X20" s="24">
        <f t="shared" si="0"/>
        <v>4</v>
      </c>
      <c r="Z20" s="2" t="str">
        <f t="shared" si="1"/>
        <v/>
      </c>
    </row>
    <row r="21" spans="11:26" x14ac:dyDescent="0.25">
      <c r="K21" s="24">
        <v>1</v>
      </c>
      <c r="L21" s="24" t="s">
        <v>32</v>
      </c>
      <c r="M21" s="24" t="s">
        <v>111</v>
      </c>
      <c r="N21" s="27" t="s">
        <v>152</v>
      </c>
      <c r="O21" s="27" t="s">
        <v>153</v>
      </c>
      <c r="P21" s="27" t="s">
        <v>153</v>
      </c>
      <c r="Q21" s="27" t="s">
        <v>152</v>
      </c>
      <c r="R21" s="27" t="s">
        <v>152</v>
      </c>
      <c r="S21" s="27" t="s">
        <v>152</v>
      </c>
      <c r="T21" s="27" t="s">
        <v>153</v>
      </c>
      <c r="U21" s="27" t="s">
        <v>152</v>
      </c>
      <c r="V21" s="27" t="s">
        <v>153</v>
      </c>
      <c r="W21" s="27" t="s">
        <v>153</v>
      </c>
      <c r="X21" s="24">
        <f t="shared" si="0"/>
        <v>2.5</v>
      </c>
      <c r="Z21" s="2" t="str">
        <f t="shared" si="1"/>
        <v/>
      </c>
    </row>
    <row r="22" spans="11:26" x14ac:dyDescent="0.25">
      <c r="K22" s="24">
        <v>1</v>
      </c>
      <c r="L22" s="24" t="s">
        <v>32</v>
      </c>
      <c r="M22" s="24" t="s">
        <v>112</v>
      </c>
      <c r="N22" s="27" t="s">
        <v>152</v>
      </c>
      <c r="O22" s="27" t="s">
        <v>152</v>
      </c>
      <c r="P22" s="27" t="s">
        <v>152</v>
      </c>
      <c r="Q22" s="27" t="s">
        <v>152</v>
      </c>
      <c r="R22" s="27" t="s">
        <v>152</v>
      </c>
      <c r="S22" s="27" t="s">
        <v>152</v>
      </c>
      <c r="T22" s="27" t="s">
        <v>152</v>
      </c>
      <c r="U22" s="27" t="s">
        <v>152</v>
      </c>
      <c r="V22" s="27" t="s">
        <v>152</v>
      </c>
      <c r="W22" s="27" t="s">
        <v>152</v>
      </c>
      <c r="X22" s="24">
        <f t="shared" si="0"/>
        <v>5</v>
      </c>
      <c r="Z22" s="2" t="str">
        <f t="shared" si="1"/>
        <v/>
      </c>
    </row>
    <row r="23" spans="11:26" x14ac:dyDescent="0.25">
      <c r="K23" s="24">
        <v>1</v>
      </c>
      <c r="L23" s="24" t="s">
        <v>32</v>
      </c>
      <c r="M23" s="24" t="s">
        <v>18</v>
      </c>
      <c r="N23" s="27" t="s">
        <v>152</v>
      </c>
      <c r="O23" s="27" t="s">
        <v>152</v>
      </c>
      <c r="P23" s="27" t="s">
        <v>152</v>
      </c>
      <c r="Q23" s="27" t="s">
        <v>152</v>
      </c>
      <c r="R23" s="27" t="s">
        <v>152</v>
      </c>
      <c r="S23" s="27" t="s">
        <v>153</v>
      </c>
      <c r="T23" s="27" t="s">
        <v>152</v>
      </c>
      <c r="U23" s="27" t="s">
        <v>152</v>
      </c>
      <c r="V23" s="27" t="s">
        <v>153</v>
      </c>
      <c r="W23" s="27" t="s">
        <v>153</v>
      </c>
      <c r="X23" s="24">
        <f t="shared" si="0"/>
        <v>3.5</v>
      </c>
      <c r="Z23" s="2" t="str">
        <f t="shared" si="1"/>
        <v/>
      </c>
    </row>
    <row r="24" spans="11:26" x14ac:dyDescent="0.25">
      <c r="K24" s="24">
        <v>1</v>
      </c>
      <c r="L24" s="24" t="s">
        <v>32</v>
      </c>
      <c r="M24" s="24" t="s">
        <v>88</v>
      </c>
      <c r="N24" s="27" t="s">
        <v>152</v>
      </c>
      <c r="O24" s="27" t="s">
        <v>153</v>
      </c>
      <c r="P24" s="27" t="s">
        <v>152</v>
      </c>
      <c r="Q24" s="27" t="s">
        <v>152</v>
      </c>
      <c r="R24" s="27" t="s">
        <v>152</v>
      </c>
      <c r="S24" s="27" t="s">
        <v>152</v>
      </c>
      <c r="T24" s="27" t="s">
        <v>152</v>
      </c>
      <c r="U24" s="27" t="s">
        <v>152</v>
      </c>
      <c r="V24" s="27" t="s">
        <v>152</v>
      </c>
      <c r="W24" s="27" t="s">
        <v>152</v>
      </c>
      <c r="X24" s="24">
        <f t="shared" si="0"/>
        <v>4.5</v>
      </c>
      <c r="Z24" s="2" t="str">
        <f t="shared" si="1"/>
        <v/>
      </c>
    </row>
    <row r="25" spans="11:26" x14ac:dyDescent="0.25">
      <c r="K25" s="24">
        <v>1</v>
      </c>
      <c r="L25" s="24" t="s">
        <v>32</v>
      </c>
      <c r="M25" s="24" t="s">
        <v>89</v>
      </c>
      <c r="N25" s="27" t="s">
        <v>152</v>
      </c>
      <c r="O25" s="27" t="s">
        <v>152</v>
      </c>
      <c r="P25" s="27" t="s">
        <v>152</v>
      </c>
      <c r="Q25" s="27" t="s">
        <v>152</v>
      </c>
      <c r="R25" s="27" t="s">
        <v>152</v>
      </c>
      <c r="S25" s="27" t="s">
        <v>152</v>
      </c>
      <c r="T25" s="27" t="s">
        <v>152</v>
      </c>
      <c r="U25" s="27" t="s">
        <v>152</v>
      </c>
      <c r="V25" s="27" t="s">
        <v>152</v>
      </c>
      <c r="W25" s="27" t="s">
        <v>152</v>
      </c>
      <c r="X25" s="24">
        <f t="shared" si="0"/>
        <v>5</v>
      </c>
      <c r="Z25" s="2" t="str">
        <f t="shared" si="1"/>
        <v/>
      </c>
    </row>
    <row r="26" spans="11:26" x14ac:dyDescent="0.25">
      <c r="K26" s="24">
        <v>1</v>
      </c>
      <c r="L26" s="24" t="s">
        <v>32</v>
      </c>
      <c r="M26" s="24" t="s">
        <v>113</v>
      </c>
      <c r="N26" s="27" t="s">
        <v>152</v>
      </c>
      <c r="O26" s="27" t="s">
        <v>152</v>
      </c>
      <c r="P26" s="27" t="s">
        <v>152</v>
      </c>
      <c r="Q26" s="27" t="s">
        <v>152</v>
      </c>
      <c r="R26" s="27" t="s">
        <v>152</v>
      </c>
      <c r="S26" s="27" t="s">
        <v>152</v>
      </c>
      <c r="T26" s="27" t="s">
        <v>152</v>
      </c>
      <c r="U26" s="27" t="s">
        <v>152</v>
      </c>
      <c r="V26" s="27" t="s">
        <v>152</v>
      </c>
      <c r="W26" s="27" t="s">
        <v>152</v>
      </c>
      <c r="X26" s="24">
        <f t="shared" si="0"/>
        <v>5</v>
      </c>
      <c r="Z26" s="2" t="str">
        <f t="shared" si="1"/>
        <v/>
      </c>
    </row>
    <row r="27" spans="11:26" x14ac:dyDescent="0.25">
      <c r="K27" s="24">
        <v>1</v>
      </c>
      <c r="L27" s="24" t="s">
        <v>32</v>
      </c>
      <c r="M27" s="24" t="s">
        <v>114</v>
      </c>
      <c r="N27" s="27" t="s">
        <v>152</v>
      </c>
      <c r="O27" s="27" t="s">
        <v>152</v>
      </c>
      <c r="P27" s="27" t="s">
        <v>152</v>
      </c>
      <c r="Q27" s="27" t="s">
        <v>152</v>
      </c>
      <c r="R27" s="27" t="s">
        <v>152</v>
      </c>
      <c r="S27" s="27" t="s">
        <v>152</v>
      </c>
      <c r="T27" s="27" t="s">
        <v>152</v>
      </c>
      <c r="U27" s="27" t="s">
        <v>152</v>
      </c>
      <c r="V27" s="27" t="s">
        <v>152</v>
      </c>
      <c r="W27" s="27" t="s">
        <v>152</v>
      </c>
      <c r="X27" s="24">
        <f t="shared" si="0"/>
        <v>5</v>
      </c>
      <c r="Z27" s="2" t="str">
        <f t="shared" si="1"/>
        <v/>
      </c>
    </row>
    <row r="28" spans="11:26" x14ac:dyDescent="0.25">
      <c r="K28" s="24">
        <v>1</v>
      </c>
      <c r="L28" s="24" t="s">
        <v>32</v>
      </c>
      <c r="M28" s="24" t="s">
        <v>115</v>
      </c>
      <c r="N28" s="27" t="s">
        <v>152</v>
      </c>
      <c r="O28" s="27" t="s">
        <v>152</v>
      </c>
      <c r="P28" s="27" t="s">
        <v>152</v>
      </c>
      <c r="Q28" s="27" t="s">
        <v>152</v>
      </c>
      <c r="R28" s="27" t="s">
        <v>152</v>
      </c>
      <c r="S28" s="27" t="s">
        <v>152</v>
      </c>
      <c r="T28" s="27" t="s">
        <v>152</v>
      </c>
      <c r="U28" s="27" t="s">
        <v>152</v>
      </c>
      <c r="V28" s="27" t="s">
        <v>152</v>
      </c>
      <c r="W28" s="27" t="s">
        <v>152</v>
      </c>
      <c r="X28" s="24">
        <f t="shared" si="0"/>
        <v>5</v>
      </c>
      <c r="Z28" s="2" t="str">
        <f t="shared" si="1"/>
        <v/>
      </c>
    </row>
    <row r="29" spans="11:26" x14ac:dyDescent="0.25">
      <c r="K29" s="24">
        <v>1</v>
      </c>
      <c r="L29" s="24" t="s">
        <v>32</v>
      </c>
      <c r="M29" s="24" t="s">
        <v>116</v>
      </c>
      <c r="N29" s="27" t="s">
        <v>152</v>
      </c>
      <c r="O29" s="27" t="s">
        <v>152</v>
      </c>
      <c r="P29" s="27" t="s">
        <v>152</v>
      </c>
      <c r="Q29" s="27" t="s">
        <v>152</v>
      </c>
      <c r="R29" s="27" t="s">
        <v>152</v>
      </c>
      <c r="S29" s="27" t="s">
        <v>152</v>
      </c>
      <c r="T29" s="27" t="s">
        <v>152</v>
      </c>
      <c r="U29" s="27" t="s">
        <v>152</v>
      </c>
      <c r="V29" s="27" t="s">
        <v>152</v>
      </c>
      <c r="W29" s="27" t="s">
        <v>152</v>
      </c>
      <c r="X29" s="24">
        <f t="shared" si="0"/>
        <v>5</v>
      </c>
      <c r="Z29" s="2" t="str">
        <f t="shared" si="1"/>
        <v/>
      </c>
    </row>
    <row r="30" spans="11:26" x14ac:dyDescent="0.25">
      <c r="K30" s="24">
        <v>1</v>
      </c>
      <c r="L30" s="24" t="s">
        <v>32</v>
      </c>
      <c r="M30" s="24" t="s">
        <v>117</v>
      </c>
      <c r="N30" s="27" t="s">
        <v>152</v>
      </c>
      <c r="O30" s="27" t="s">
        <v>152</v>
      </c>
      <c r="P30" s="27" t="s">
        <v>152</v>
      </c>
      <c r="Q30" s="27" t="s">
        <v>152</v>
      </c>
      <c r="R30" s="27" t="s">
        <v>152</v>
      </c>
      <c r="S30" s="27" t="s">
        <v>152</v>
      </c>
      <c r="T30" s="27" t="s">
        <v>152</v>
      </c>
      <c r="U30" s="27" t="s">
        <v>152</v>
      </c>
      <c r="V30" s="27" t="s">
        <v>152</v>
      </c>
      <c r="W30" s="27" t="s">
        <v>152</v>
      </c>
      <c r="X30" s="24">
        <f t="shared" si="0"/>
        <v>5</v>
      </c>
      <c r="Z30" s="2" t="str">
        <f t="shared" si="1"/>
        <v/>
      </c>
    </row>
    <row r="31" spans="11:26" x14ac:dyDescent="0.25">
      <c r="K31" s="24">
        <v>1</v>
      </c>
      <c r="L31" s="24" t="s">
        <v>32</v>
      </c>
      <c r="M31" s="24" t="s">
        <v>118</v>
      </c>
      <c r="N31" s="27" t="s">
        <v>152</v>
      </c>
      <c r="O31" s="27" t="s">
        <v>152</v>
      </c>
      <c r="P31" s="27" t="s">
        <v>152</v>
      </c>
      <c r="Q31" s="27" t="s">
        <v>153</v>
      </c>
      <c r="R31" s="27" t="s">
        <v>153</v>
      </c>
      <c r="S31" s="27" t="s">
        <v>152</v>
      </c>
      <c r="T31" s="27" t="s">
        <v>152</v>
      </c>
      <c r="U31" s="27" t="s">
        <v>152</v>
      </c>
      <c r="V31" s="27" t="s">
        <v>153</v>
      </c>
      <c r="W31" s="27" t="s">
        <v>153</v>
      </c>
      <c r="X31" s="24">
        <f t="shared" si="0"/>
        <v>3</v>
      </c>
      <c r="Z31" s="2" t="str">
        <f t="shared" si="1"/>
        <v/>
      </c>
    </row>
    <row r="32" spans="11:26" x14ac:dyDescent="0.25">
      <c r="K32" s="24">
        <v>1</v>
      </c>
      <c r="L32" s="24" t="s">
        <v>32</v>
      </c>
      <c r="M32" s="24" t="s">
        <v>119</v>
      </c>
      <c r="N32" s="27" t="s">
        <v>152</v>
      </c>
      <c r="O32" s="27" t="s">
        <v>152</v>
      </c>
      <c r="P32" s="27" t="s">
        <v>152</v>
      </c>
      <c r="Q32" s="27" t="s">
        <v>152</v>
      </c>
      <c r="R32" s="27" t="s">
        <v>152</v>
      </c>
      <c r="S32" s="27" t="s">
        <v>152</v>
      </c>
      <c r="T32" s="27" t="s">
        <v>152</v>
      </c>
      <c r="U32" s="27" t="s">
        <v>152</v>
      </c>
      <c r="V32" s="27" t="s">
        <v>152</v>
      </c>
      <c r="W32" s="27" t="s">
        <v>152</v>
      </c>
      <c r="X32" s="24">
        <f t="shared" si="0"/>
        <v>5</v>
      </c>
      <c r="Z32" s="2" t="str">
        <f t="shared" si="1"/>
        <v/>
      </c>
    </row>
    <row r="33" spans="11:26" x14ac:dyDescent="0.25">
      <c r="K33" s="24">
        <v>1</v>
      </c>
      <c r="L33" s="24" t="s">
        <v>32</v>
      </c>
      <c r="M33" s="24" t="s">
        <v>120</v>
      </c>
      <c r="N33" s="27" t="s">
        <v>153</v>
      </c>
      <c r="O33" s="27" t="s">
        <v>153</v>
      </c>
      <c r="P33" s="27" t="s">
        <v>153</v>
      </c>
      <c r="Q33" s="27" t="s">
        <v>153</v>
      </c>
      <c r="R33" s="27" t="s">
        <v>153</v>
      </c>
      <c r="S33" s="27" t="s">
        <v>152</v>
      </c>
      <c r="T33" s="27" t="s">
        <v>153</v>
      </c>
      <c r="U33" s="27" t="s">
        <v>153</v>
      </c>
      <c r="V33" s="27" t="s">
        <v>153</v>
      </c>
      <c r="W33" s="27" t="s">
        <v>153</v>
      </c>
      <c r="X33" s="24">
        <f t="shared" si="0"/>
        <v>0.5</v>
      </c>
      <c r="Z33" s="2" t="str">
        <f t="shared" si="1"/>
        <v/>
      </c>
    </row>
    <row r="34" spans="11:26" x14ac:dyDescent="0.25">
      <c r="K34" s="24">
        <v>1</v>
      </c>
      <c r="L34" s="24" t="s">
        <v>32</v>
      </c>
      <c r="M34" s="24" t="s">
        <v>121</v>
      </c>
      <c r="N34" s="27" t="s">
        <v>152</v>
      </c>
      <c r="O34" s="27" t="s">
        <v>152</v>
      </c>
      <c r="P34" s="27" t="s">
        <v>153</v>
      </c>
      <c r="Q34" s="27" t="s">
        <v>153</v>
      </c>
      <c r="R34" s="27" t="s">
        <v>152</v>
      </c>
      <c r="S34" s="27" t="s">
        <v>152</v>
      </c>
      <c r="T34" s="27" t="s">
        <v>152</v>
      </c>
      <c r="U34" s="27" t="s">
        <v>153</v>
      </c>
      <c r="V34" s="27" t="s">
        <v>152</v>
      </c>
      <c r="W34" s="27" t="s">
        <v>152</v>
      </c>
      <c r="X34" s="24">
        <f t="shared" ref="X34:X65" si="2">COUNTIF(N34:W34,$A$2)*$B$2</f>
        <v>3.5</v>
      </c>
      <c r="Z34" s="2" t="str">
        <f t="shared" si="1"/>
        <v/>
      </c>
    </row>
    <row r="35" spans="11:26" x14ac:dyDescent="0.25">
      <c r="K35" s="24">
        <v>1</v>
      </c>
      <c r="L35" s="24" t="s">
        <v>32</v>
      </c>
      <c r="M35" s="24" t="s">
        <v>122</v>
      </c>
      <c r="N35" s="27" t="s">
        <v>152</v>
      </c>
      <c r="O35" s="27" t="s">
        <v>152</v>
      </c>
      <c r="P35" s="27" t="s">
        <v>152</v>
      </c>
      <c r="Q35" s="27" t="s">
        <v>152</v>
      </c>
      <c r="R35" s="27" t="s">
        <v>152</v>
      </c>
      <c r="S35" s="27" t="s">
        <v>152</v>
      </c>
      <c r="T35" s="27" t="s">
        <v>152</v>
      </c>
      <c r="U35" s="27" t="s">
        <v>152</v>
      </c>
      <c r="V35" s="27" t="s">
        <v>153</v>
      </c>
      <c r="W35" s="27" t="s">
        <v>152</v>
      </c>
      <c r="X35" s="24">
        <f t="shared" si="2"/>
        <v>4.5</v>
      </c>
      <c r="Z35" s="2" t="str">
        <f t="shared" si="1"/>
        <v/>
      </c>
    </row>
    <row r="36" spans="11:26" x14ac:dyDescent="0.25">
      <c r="K36" s="24">
        <v>1</v>
      </c>
      <c r="L36" s="24" t="s">
        <v>32</v>
      </c>
      <c r="M36" s="24" t="s">
        <v>123</v>
      </c>
      <c r="N36" s="27" t="s">
        <v>152</v>
      </c>
      <c r="O36" s="27" t="s">
        <v>153</v>
      </c>
      <c r="P36" s="27" t="s">
        <v>153</v>
      </c>
      <c r="Q36" s="27" t="s">
        <v>153</v>
      </c>
      <c r="R36" s="27" t="s">
        <v>153</v>
      </c>
      <c r="S36" s="27" t="s">
        <v>152</v>
      </c>
      <c r="T36" s="27" t="s">
        <v>153</v>
      </c>
      <c r="U36" s="27" t="s">
        <v>152</v>
      </c>
      <c r="V36" s="27" t="s">
        <v>152</v>
      </c>
      <c r="W36" s="27" t="s">
        <v>153</v>
      </c>
      <c r="X36" s="24">
        <f t="shared" si="2"/>
        <v>2</v>
      </c>
      <c r="Z36" s="2" t="str">
        <f t="shared" si="1"/>
        <v/>
      </c>
    </row>
    <row r="37" spans="11:26" x14ac:dyDescent="0.25">
      <c r="K37" s="24">
        <v>1</v>
      </c>
      <c r="L37" s="24" t="s">
        <v>32</v>
      </c>
      <c r="M37" s="24" t="s">
        <v>124</v>
      </c>
      <c r="N37" s="27" t="s">
        <v>153</v>
      </c>
      <c r="O37" s="27" t="s">
        <v>153</v>
      </c>
      <c r="P37" s="27" t="s">
        <v>153</v>
      </c>
      <c r="Q37" s="27" t="s">
        <v>153</v>
      </c>
      <c r="R37" s="27" t="s">
        <v>152</v>
      </c>
      <c r="S37" s="27" t="s">
        <v>153</v>
      </c>
      <c r="T37" s="27" t="s">
        <v>152</v>
      </c>
      <c r="U37" s="27" t="s">
        <v>152</v>
      </c>
      <c r="V37" s="27" t="s">
        <v>152</v>
      </c>
      <c r="W37" s="27" t="s">
        <v>152</v>
      </c>
      <c r="X37" s="24">
        <f t="shared" si="2"/>
        <v>2.5</v>
      </c>
      <c r="Z37" s="2" t="str">
        <f t="shared" si="1"/>
        <v/>
      </c>
    </row>
    <row r="38" spans="11:26" x14ac:dyDescent="0.25">
      <c r="K38" s="24">
        <v>1</v>
      </c>
      <c r="L38" s="24" t="s">
        <v>32</v>
      </c>
      <c r="M38" s="24" t="s">
        <v>125</v>
      </c>
      <c r="N38" s="27" t="s">
        <v>152</v>
      </c>
      <c r="O38" s="27" t="s">
        <v>153</v>
      </c>
      <c r="P38" s="27" t="s">
        <v>152</v>
      </c>
      <c r="Q38" s="27" t="s">
        <v>152</v>
      </c>
      <c r="R38" s="27" t="s">
        <v>152</v>
      </c>
      <c r="S38" s="27" t="s">
        <v>152</v>
      </c>
      <c r="T38" s="27" t="s">
        <v>152</v>
      </c>
      <c r="U38" s="27" t="s">
        <v>153</v>
      </c>
      <c r="V38" s="27" t="s">
        <v>153</v>
      </c>
      <c r="W38" s="27" t="s">
        <v>152</v>
      </c>
      <c r="X38" s="24">
        <f t="shared" si="2"/>
        <v>3.5</v>
      </c>
      <c r="Z38" s="2" t="str">
        <f t="shared" si="1"/>
        <v/>
      </c>
    </row>
    <row r="39" spans="11:26" x14ac:dyDescent="0.25">
      <c r="K39" s="24">
        <v>1</v>
      </c>
      <c r="L39" s="24" t="s">
        <v>33</v>
      </c>
      <c r="M39" s="24" t="s">
        <v>127</v>
      </c>
      <c r="N39" s="27" t="s">
        <v>152</v>
      </c>
      <c r="O39" s="27" t="s">
        <v>153</v>
      </c>
      <c r="P39" s="27" t="s">
        <v>152</v>
      </c>
      <c r="Q39" s="27" t="s">
        <v>152</v>
      </c>
      <c r="R39" s="27" t="s">
        <v>152</v>
      </c>
      <c r="S39" s="27" t="s">
        <v>153</v>
      </c>
      <c r="T39" s="27" t="s">
        <v>152</v>
      </c>
      <c r="U39" s="27" t="s">
        <v>152</v>
      </c>
      <c r="V39" s="27" t="s">
        <v>152</v>
      </c>
      <c r="W39" s="27" t="s">
        <v>152</v>
      </c>
      <c r="X39" s="24">
        <f t="shared" si="2"/>
        <v>4</v>
      </c>
      <c r="Z39" s="2" t="str">
        <f t="shared" si="1"/>
        <v/>
      </c>
    </row>
    <row r="40" spans="11:26" x14ac:dyDescent="0.25">
      <c r="K40" s="24">
        <v>1</v>
      </c>
      <c r="L40" s="24" t="s">
        <v>33</v>
      </c>
      <c r="M40" s="24" t="s">
        <v>128</v>
      </c>
      <c r="N40" s="27" t="s">
        <v>152</v>
      </c>
      <c r="O40" s="27" t="s">
        <v>152</v>
      </c>
      <c r="P40" s="27" t="s">
        <v>152</v>
      </c>
      <c r="Q40" s="27" t="s">
        <v>153</v>
      </c>
      <c r="R40" s="27" t="s">
        <v>152</v>
      </c>
      <c r="S40" s="27" t="s">
        <v>153</v>
      </c>
      <c r="T40" s="27" t="s">
        <v>152</v>
      </c>
      <c r="U40" s="27" t="s">
        <v>153</v>
      </c>
      <c r="V40" s="27" t="s">
        <v>152</v>
      </c>
      <c r="W40" s="27" t="s">
        <v>152</v>
      </c>
      <c r="X40" s="24">
        <f t="shared" si="2"/>
        <v>3.5</v>
      </c>
      <c r="Z40" s="2" t="str">
        <f t="shared" si="1"/>
        <v/>
      </c>
    </row>
    <row r="41" spans="11:26" x14ac:dyDescent="0.25">
      <c r="K41" s="24">
        <v>1</v>
      </c>
      <c r="L41" s="24" t="s">
        <v>33</v>
      </c>
      <c r="M41" s="24" t="s">
        <v>88</v>
      </c>
      <c r="N41" s="27" t="s">
        <v>152</v>
      </c>
      <c r="O41" s="27" t="s">
        <v>153</v>
      </c>
      <c r="P41" s="27" t="s">
        <v>153</v>
      </c>
      <c r="Q41" s="27" t="s">
        <v>153</v>
      </c>
      <c r="R41" s="27" t="s">
        <v>152</v>
      </c>
      <c r="S41" s="27" t="s">
        <v>152</v>
      </c>
      <c r="T41" s="27" t="s">
        <v>152</v>
      </c>
      <c r="U41" s="27" t="s">
        <v>152</v>
      </c>
      <c r="V41" s="27" t="s">
        <v>152</v>
      </c>
      <c r="W41" s="27" t="s">
        <v>153</v>
      </c>
      <c r="X41" s="24">
        <f t="shared" si="2"/>
        <v>3</v>
      </c>
      <c r="Z41" s="2" t="str">
        <f t="shared" si="1"/>
        <v/>
      </c>
    </row>
    <row r="42" spans="11:26" x14ac:dyDescent="0.25">
      <c r="K42" s="24">
        <v>1</v>
      </c>
      <c r="L42" s="24" t="s">
        <v>33</v>
      </c>
      <c r="M42" s="24" t="s">
        <v>112</v>
      </c>
      <c r="N42" s="27" t="s">
        <v>152</v>
      </c>
      <c r="O42" s="27" t="s">
        <v>152</v>
      </c>
      <c r="P42" s="27" t="s">
        <v>152</v>
      </c>
      <c r="Q42" s="27" t="s">
        <v>152</v>
      </c>
      <c r="R42" s="27" t="s">
        <v>152</v>
      </c>
      <c r="S42" s="27" t="s">
        <v>152</v>
      </c>
      <c r="T42" s="27" t="s">
        <v>152</v>
      </c>
      <c r="U42" s="27" t="s">
        <v>152</v>
      </c>
      <c r="V42" s="27" t="s">
        <v>152</v>
      </c>
      <c r="W42" s="27" t="s">
        <v>152</v>
      </c>
      <c r="X42" s="24">
        <f t="shared" si="2"/>
        <v>5</v>
      </c>
      <c r="Z42" s="2" t="str">
        <f t="shared" si="1"/>
        <v/>
      </c>
    </row>
    <row r="43" spans="11:26" x14ac:dyDescent="0.25">
      <c r="K43" s="24">
        <v>1</v>
      </c>
      <c r="L43" s="24" t="s">
        <v>33</v>
      </c>
      <c r="M43" s="24" t="s">
        <v>129</v>
      </c>
      <c r="N43" s="27" t="s">
        <v>152</v>
      </c>
      <c r="O43" s="27" t="s">
        <v>152</v>
      </c>
      <c r="P43" s="27" t="s">
        <v>152</v>
      </c>
      <c r="Q43" s="27" t="s">
        <v>152</v>
      </c>
      <c r="R43" s="27" t="s">
        <v>153</v>
      </c>
      <c r="S43" s="27" t="s">
        <v>152</v>
      </c>
      <c r="T43" s="27" t="s">
        <v>152</v>
      </c>
      <c r="U43" s="27" t="s">
        <v>152</v>
      </c>
      <c r="V43" s="27" t="s">
        <v>153</v>
      </c>
      <c r="W43" s="27" t="s">
        <v>152</v>
      </c>
      <c r="X43" s="24">
        <f t="shared" si="2"/>
        <v>4</v>
      </c>
      <c r="Z43" s="2" t="str">
        <f t="shared" si="1"/>
        <v/>
      </c>
    </row>
    <row r="44" spans="11:26" x14ac:dyDescent="0.25">
      <c r="K44" s="24">
        <v>1</v>
      </c>
      <c r="L44" s="24" t="s">
        <v>33</v>
      </c>
      <c r="M44" s="24" t="s">
        <v>130</v>
      </c>
      <c r="N44" s="27" t="s">
        <v>152</v>
      </c>
      <c r="O44" s="27" t="s">
        <v>152</v>
      </c>
      <c r="P44" s="27" t="s">
        <v>152</v>
      </c>
      <c r="Q44" s="27" t="s">
        <v>152</v>
      </c>
      <c r="R44" s="27" t="s">
        <v>152</v>
      </c>
      <c r="S44" s="27" t="s">
        <v>152</v>
      </c>
      <c r="T44" s="27" t="s">
        <v>152</v>
      </c>
      <c r="U44" s="27" t="s">
        <v>152</v>
      </c>
      <c r="V44" s="27" t="s">
        <v>152</v>
      </c>
      <c r="W44" s="27" t="s">
        <v>152</v>
      </c>
      <c r="X44" s="24">
        <f t="shared" si="2"/>
        <v>5</v>
      </c>
      <c r="Z44" s="2" t="str">
        <f t="shared" si="1"/>
        <v/>
      </c>
    </row>
    <row r="45" spans="11:26" x14ac:dyDescent="0.25">
      <c r="K45" s="24">
        <v>1</v>
      </c>
      <c r="L45" s="24" t="s">
        <v>33</v>
      </c>
      <c r="M45" s="24" t="s">
        <v>131</v>
      </c>
      <c r="N45" s="27" t="s">
        <v>152</v>
      </c>
      <c r="O45" s="27" t="s">
        <v>152</v>
      </c>
      <c r="P45" s="27" t="s">
        <v>152</v>
      </c>
      <c r="Q45" s="27" t="s">
        <v>152</v>
      </c>
      <c r="R45" s="27" t="s">
        <v>152</v>
      </c>
      <c r="S45" s="27" t="s">
        <v>152</v>
      </c>
      <c r="T45" s="27" t="s">
        <v>152</v>
      </c>
      <c r="U45" s="27" t="s">
        <v>152</v>
      </c>
      <c r="V45" s="27" t="s">
        <v>152</v>
      </c>
      <c r="W45" s="27" t="s">
        <v>152</v>
      </c>
      <c r="X45" s="24">
        <f t="shared" si="2"/>
        <v>5</v>
      </c>
      <c r="Z45" s="2" t="str">
        <f t="shared" si="1"/>
        <v/>
      </c>
    </row>
    <row r="46" spans="11:26" x14ac:dyDescent="0.25">
      <c r="K46" s="24">
        <v>1</v>
      </c>
      <c r="L46" s="24" t="s">
        <v>33</v>
      </c>
      <c r="M46" s="24" t="s">
        <v>119</v>
      </c>
      <c r="N46" s="27" t="s">
        <v>152</v>
      </c>
      <c r="O46" s="27" t="s">
        <v>152</v>
      </c>
      <c r="P46" s="27" t="s">
        <v>152</v>
      </c>
      <c r="Q46" s="27" t="s">
        <v>152</v>
      </c>
      <c r="R46" s="27" t="s">
        <v>153</v>
      </c>
      <c r="S46" s="27" t="s">
        <v>152</v>
      </c>
      <c r="T46" s="27" t="s">
        <v>152</v>
      </c>
      <c r="U46" s="27" t="s">
        <v>152</v>
      </c>
      <c r="V46" s="27" t="s">
        <v>152</v>
      </c>
      <c r="W46" s="27" t="s">
        <v>152</v>
      </c>
      <c r="X46" s="24">
        <f t="shared" si="2"/>
        <v>4.5</v>
      </c>
      <c r="Z46" s="2" t="str">
        <f t="shared" si="1"/>
        <v/>
      </c>
    </row>
    <row r="47" spans="11:26" x14ac:dyDescent="0.25">
      <c r="K47" s="24">
        <v>1</v>
      </c>
      <c r="L47" s="24" t="s">
        <v>33</v>
      </c>
      <c r="M47" s="24" t="s">
        <v>117</v>
      </c>
      <c r="N47" s="27" t="s">
        <v>152</v>
      </c>
      <c r="O47" s="27" t="s">
        <v>152</v>
      </c>
      <c r="P47" s="27" t="s">
        <v>152</v>
      </c>
      <c r="Q47" s="27" t="s">
        <v>152</v>
      </c>
      <c r="R47" s="27" t="s">
        <v>152</v>
      </c>
      <c r="S47" s="27" t="s">
        <v>152</v>
      </c>
      <c r="T47" s="27" t="s">
        <v>152</v>
      </c>
      <c r="U47" s="27" t="s">
        <v>152</v>
      </c>
      <c r="V47" s="27" t="s">
        <v>152</v>
      </c>
      <c r="W47" s="27" t="s">
        <v>152</v>
      </c>
      <c r="X47" s="24">
        <f t="shared" si="2"/>
        <v>5</v>
      </c>
      <c r="Z47" s="2" t="str">
        <f t="shared" si="1"/>
        <v/>
      </c>
    </row>
    <row r="48" spans="11:26" x14ac:dyDescent="0.25">
      <c r="K48" s="24">
        <v>1</v>
      </c>
      <c r="L48" s="24" t="s">
        <v>33</v>
      </c>
      <c r="M48" s="24" t="s">
        <v>132</v>
      </c>
      <c r="N48" s="27" t="s">
        <v>153</v>
      </c>
      <c r="O48" s="27" t="s">
        <v>152</v>
      </c>
      <c r="P48" s="27" t="s">
        <v>152</v>
      </c>
      <c r="Q48" s="27" t="s">
        <v>152</v>
      </c>
      <c r="R48" s="27" t="s">
        <v>152</v>
      </c>
      <c r="S48" s="27" t="s">
        <v>152</v>
      </c>
      <c r="T48" s="27" t="s">
        <v>152</v>
      </c>
      <c r="U48" s="27" t="s">
        <v>152</v>
      </c>
      <c r="V48" s="27" t="s">
        <v>152</v>
      </c>
      <c r="W48" s="27" t="s">
        <v>152</v>
      </c>
      <c r="X48" s="24">
        <f t="shared" si="2"/>
        <v>4.5</v>
      </c>
      <c r="Z48" s="2" t="str">
        <f t="shared" si="1"/>
        <v/>
      </c>
    </row>
    <row r="49" spans="11:26" x14ac:dyDescent="0.25">
      <c r="K49" s="24">
        <v>1</v>
      </c>
      <c r="L49" s="24" t="s">
        <v>33</v>
      </c>
      <c r="M49" s="24" t="s">
        <v>124</v>
      </c>
      <c r="N49" s="27" t="s">
        <v>152</v>
      </c>
      <c r="O49" s="27" t="s">
        <v>152</v>
      </c>
      <c r="P49" s="27" t="s">
        <v>152</v>
      </c>
      <c r="Q49" s="27" t="s">
        <v>152</v>
      </c>
      <c r="R49" s="27" t="s">
        <v>152</v>
      </c>
      <c r="S49" s="27" t="s">
        <v>152</v>
      </c>
      <c r="T49" s="27" t="s">
        <v>152</v>
      </c>
      <c r="U49" s="27" t="s">
        <v>152</v>
      </c>
      <c r="V49" s="27" t="s">
        <v>152</v>
      </c>
      <c r="W49" s="27" t="s">
        <v>152</v>
      </c>
      <c r="X49" s="24">
        <f t="shared" si="2"/>
        <v>5</v>
      </c>
      <c r="Z49" s="2" t="str">
        <f t="shared" si="1"/>
        <v/>
      </c>
    </row>
    <row r="50" spans="11:26" x14ac:dyDescent="0.25">
      <c r="K50" s="24">
        <v>1</v>
      </c>
      <c r="L50" s="24" t="s">
        <v>33</v>
      </c>
      <c r="M50" s="24" t="s">
        <v>125</v>
      </c>
      <c r="N50" s="27" t="s">
        <v>152</v>
      </c>
      <c r="O50" s="27" t="s">
        <v>152</v>
      </c>
      <c r="P50" s="27" t="s">
        <v>152</v>
      </c>
      <c r="Q50" s="27" t="s">
        <v>152</v>
      </c>
      <c r="R50" s="27" t="s">
        <v>152</v>
      </c>
      <c r="S50" s="27" t="s">
        <v>152</v>
      </c>
      <c r="T50" s="27" t="s">
        <v>152</v>
      </c>
      <c r="U50" s="27" t="s">
        <v>152</v>
      </c>
      <c r="V50" s="27" t="s">
        <v>152</v>
      </c>
      <c r="W50" s="27" t="s">
        <v>152</v>
      </c>
      <c r="X50" s="24">
        <f t="shared" si="2"/>
        <v>5</v>
      </c>
      <c r="Z50" s="2" t="str">
        <f t="shared" si="1"/>
        <v/>
      </c>
    </row>
    <row r="51" spans="11:26" x14ac:dyDescent="0.25">
      <c r="K51" s="24">
        <v>1</v>
      </c>
      <c r="L51" s="24" t="s">
        <v>33</v>
      </c>
      <c r="M51" s="24" t="s">
        <v>133</v>
      </c>
      <c r="N51" s="27" t="s">
        <v>152</v>
      </c>
      <c r="O51" s="27" t="s">
        <v>152</v>
      </c>
      <c r="P51" s="27" t="s">
        <v>152</v>
      </c>
      <c r="Q51" s="27" t="s">
        <v>152</v>
      </c>
      <c r="R51" s="27" t="s">
        <v>152</v>
      </c>
      <c r="S51" s="27" t="s">
        <v>152</v>
      </c>
      <c r="T51" s="27" t="s">
        <v>152</v>
      </c>
      <c r="U51" s="27" t="s">
        <v>152</v>
      </c>
      <c r="V51" s="27" t="s">
        <v>152</v>
      </c>
      <c r="W51" s="27" t="s">
        <v>152</v>
      </c>
      <c r="X51" s="24">
        <f t="shared" si="2"/>
        <v>5</v>
      </c>
      <c r="Z51" s="2" t="str">
        <f t="shared" si="1"/>
        <v/>
      </c>
    </row>
    <row r="52" spans="11:26" x14ac:dyDescent="0.25">
      <c r="K52" s="24">
        <v>1</v>
      </c>
      <c r="L52" s="24" t="s">
        <v>33</v>
      </c>
      <c r="M52" s="24" t="s">
        <v>134</v>
      </c>
      <c r="N52" s="27" t="s">
        <v>152</v>
      </c>
      <c r="O52" s="27" t="s">
        <v>152</v>
      </c>
      <c r="P52" s="27" t="s">
        <v>152</v>
      </c>
      <c r="Q52" s="27" t="s">
        <v>152</v>
      </c>
      <c r="R52" s="27" t="s">
        <v>152</v>
      </c>
      <c r="S52" s="27" t="s">
        <v>152</v>
      </c>
      <c r="T52" s="27" t="s">
        <v>152</v>
      </c>
      <c r="U52" s="27" t="s">
        <v>152</v>
      </c>
      <c r="V52" s="27" t="s">
        <v>152</v>
      </c>
      <c r="W52" s="27" t="s">
        <v>152</v>
      </c>
      <c r="X52" s="24">
        <f t="shared" si="2"/>
        <v>5</v>
      </c>
      <c r="Z52" s="2" t="str">
        <f t="shared" si="1"/>
        <v/>
      </c>
    </row>
    <row r="53" spans="11:26" x14ac:dyDescent="0.25">
      <c r="K53" s="24">
        <v>1</v>
      </c>
      <c r="L53" s="24" t="s">
        <v>33</v>
      </c>
      <c r="M53" s="24" t="s">
        <v>135</v>
      </c>
      <c r="N53" s="27" t="s">
        <v>152</v>
      </c>
      <c r="O53" s="27" t="s">
        <v>152</v>
      </c>
      <c r="P53" s="27" t="s">
        <v>152</v>
      </c>
      <c r="Q53" s="27" t="s">
        <v>152</v>
      </c>
      <c r="R53" s="27" t="s">
        <v>152</v>
      </c>
      <c r="S53" s="27" t="s">
        <v>152</v>
      </c>
      <c r="T53" s="27" t="s">
        <v>152</v>
      </c>
      <c r="U53" s="27" t="s">
        <v>152</v>
      </c>
      <c r="V53" s="27" t="s">
        <v>152</v>
      </c>
      <c r="W53" s="27" t="s">
        <v>152</v>
      </c>
      <c r="X53" s="24">
        <f t="shared" si="2"/>
        <v>5</v>
      </c>
      <c r="Z53" s="2" t="str">
        <f t="shared" si="1"/>
        <v/>
      </c>
    </row>
    <row r="54" spans="11:26" x14ac:dyDescent="0.25">
      <c r="K54" s="24">
        <v>1</v>
      </c>
      <c r="L54" s="24" t="s">
        <v>33</v>
      </c>
      <c r="M54" s="24" t="s">
        <v>121</v>
      </c>
      <c r="N54" s="27" t="s">
        <v>152</v>
      </c>
      <c r="O54" s="27" t="s">
        <v>153</v>
      </c>
      <c r="P54" s="27" t="s">
        <v>153</v>
      </c>
      <c r="Q54" s="27" t="s">
        <v>153</v>
      </c>
      <c r="R54" s="27" t="s">
        <v>152</v>
      </c>
      <c r="S54" s="27" t="s">
        <v>153</v>
      </c>
      <c r="T54" s="27" t="s">
        <v>152</v>
      </c>
      <c r="U54" s="27" t="s">
        <v>152</v>
      </c>
      <c r="V54" s="27" t="s">
        <v>152</v>
      </c>
      <c r="W54" s="27" t="s">
        <v>152</v>
      </c>
      <c r="X54" s="24">
        <f t="shared" si="2"/>
        <v>3</v>
      </c>
      <c r="Z54" s="2" t="str">
        <f t="shared" si="1"/>
        <v/>
      </c>
    </row>
    <row r="55" spans="11:26" x14ac:dyDescent="0.25">
      <c r="K55" s="24">
        <v>1</v>
      </c>
      <c r="L55" s="24" t="s">
        <v>33</v>
      </c>
      <c r="M55" s="24" t="s">
        <v>122</v>
      </c>
      <c r="N55" s="27" t="s">
        <v>152</v>
      </c>
      <c r="O55" s="27" t="s">
        <v>152</v>
      </c>
      <c r="P55" s="27" t="s">
        <v>152</v>
      </c>
      <c r="Q55" s="27" t="s">
        <v>152</v>
      </c>
      <c r="R55" s="27" t="s">
        <v>152</v>
      </c>
      <c r="S55" s="27" t="s">
        <v>152</v>
      </c>
      <c r="T55" s="27" t="s">
        <v>152</v>
      </c>
      <c r="U55" s="27" t="s">
        <v>152</v>
      </c>
      <c r="V55" s="27" t="s">
        <v>152</v>
      </c>
      <c r="W55" s="27" t="s">
        <v>152</v>
      </c>
      <c r="X55" s="24">
        <f t="shared" si="2"/>
        <v>5</v>
      </c>
      <c r="Z55" s="2" t="str">
        <f t="shared" si="1"/>
        <v/>
      </c>
    </row>
    <row r="56" spans="11:26" x14ac:dyDescent="0.25">
      <c r="K56" s="24">
        <v>1</v>
      </c>
      <c r="L56" s="24" t="s">
        <v>33</v>
      </c>
      <c r="M56" s="24" t="s">
        <v>136</v>
      </c>
      <c r="N56" s="27" t="s">
        <v>152</v>
      </c>
      <c r="O56" s="27" t="s">
        <v>152</v>
      </c>
      <c r="P56" s="27" t="s">
        <v>152</v>
      </c>
      <c r="Q56" s="27" t="s">
        <v>152</v>
      </c>
      <c r="R56" s="27" t="s">
        <v>153</v>
      </c>
      <c r="S56" s="27" t="s">
        <v>152</v>
      </c>
      <c r="T56" s="27" t="s">
        <v>152</v>
      </c>
      <c r="U56" s="27" t="s">
        <v>152</v>
      </c>
      <c r="V56" s="27" t="s">
        <v>152</v>
      </c>
      <c r="W56" s="27" t="s">
        <v>152</v>
      </c>
      <c r="X56" s="24">
        <f t="shared" si="2"/>
        <v>4.5</v>
      </c>
      <c r="Z56" s="2" t="str">
        <f t="shared" si="1"/>
        <v/>
      </c>
    </row>
    <row r="57" spans="11:26" x14ac:dyDescent="0.25">
      <c r="K57" s="24">
        <v>1</v>
      </c>
      <c r="L57" s="24" t="s">
        <v>33</v>
      </c>
      <c r="M57" s="24" t="s">
        <v>137</v>
      </c>
      <c r="N57" s="27" t="s">
        <v>152</v>
      </c>
      <c r="O57" s="27" t="s">
        <v>152</v>
      </c>
      <c r="P57" s="27" t="s">
        <v>152</v>
      </c>
      <c r="Q57" s="27" t="s">
        <v>152</v>
      </c>
      <c r="R57" s="27" t="s">
        <v>152</v>
      </c>
      <c r="S57" s="27" t="s">
        <v>152</v>
      </c>
      <c r="T57" s="27" t="s">
        <v>152</v>
      </c>
      <c r="U57" s="27" t="s">
        <v>152</v>
      </c>
      <c r="V57" s="27" t="s">
        <v>152</v>
      </c>
      <c r="W57" s="27" t="s">
        <v>152</v>
      </c>
      <c r="X57" s="24">
        <f t="shared" si="2"/>
        <v>5</v>
      </c>
      <c r="Z57" s="2" t="str">
        <f t="shared" si="1"/>
        <v/>
      </c>
    </row>
    <row r="58" spans="11:26" x14ac:dyDescent="0.25">
      <c r="K58" s="24">
        <v>1</v>
      </c>
      <c r="L58" s="24" t="s">
        <v>33</v>
      </c>
      <c r="M58" s="24" t="s">
        <v>138</v>
      </c>
      <c r="N58" s="27" t="s">
        <v>152</v>
      </c>
      <c r="O58" s="27" t="s">
        <v>152</v>
      </c>
      <c r="P58" s="27" t="s">
        <v>152</v>
      </c>
      <c r="Q58" s="27" t="s">
        <v>152</v>
      </c>
      <c r="R58" s="27" t="s">
        <v>152</v>
      </c>
      <c r="S58" s="27" t="s">
        <v>153</v>
      </c>
      <c r="T58" s="27" t="s">
        <v>152</v>
      </c>
      <c r="U58" s="27" t="s">
        <v>152</v>
      </c>
      <c r="V58" s="27" t="s">
        <v>152</v>
      </c>
      <c r="W58" s="27" t="s">
        <v>152</v>
      </c>
      <c r="X58" s="24">
        <f t="shared" si="2"/>
        <v>4.5</v>
      </c>
      <c r="Z58" s="2" t="str">
        <f t="shared" si="1"/>
        <v/>
      </c>
    </row>
    <row r="59" spans="11:26" x14ac:dyDescent="0.25">
      <c r="N59" s="2"/>
      <c r="O59" s="2"/>
      <c r="P59" s="2"/>
      <c r="Q59" s="2"/>
      <c r="R59" s="2"/>
      <c r="S59" s="2"/>
      <c r="T59" s="2"/>
      <c r="U59" s="2"/>
      <c r="V59" s="2"/>
      <c r="W59" s="2"/>
      <c r="X59">
        <f t="shared" si="2"/>
        <v>0</v>
      </c>
      <c r="Z59" s="2" t="str">
        <f t="shared" si="1"/>
        <v/>
      </c>
    </row>
    <row r="60" spans="11:26" x14ac:dyDescent="0.25">
      <c r="N60" s="2"/>
      <c r="O60" s="2"/>
      <c r="P60" s="2"/>
      <c r="Q60" s="2"/>
      <c r="R60" s="2"/>
      <c r="S60" s="2"/>
      <c r="T60" s="2"/>
      <c r="U60" s="2"/>
      <c r="V60" s="2"/>
      <c r="W60" s="2"/>
      <c r="X60">
        <f t="shared" si="2"/>
        <v>0</v>
      </c>
      <c r="Z60" s="2" t="str">
        <f t="shared" si="1"/>
        <v/>
      </c>
    </row>
    <row r="61" spans="11:26" x14ac:dyDescent="0.25">
      <c r="N61" s="2"/>
      <c r="O61" s="2"/>
      <c r="P61" s="2"/>
      <c r="Q61" s="2"/>
      <c r="R61" s="2"/>
      <c r="S61" s="2"/>
      <c r="T61" s="2"/>
      <c r="U61" s="2"/>
      <c r="V61" s="2"/>
      <c r="W61" s="2"/>
      <c r="X61">
        <f t="shared" si="2"/>
        <v>0</v>
      </c>
      <c r="Z61" s="2" t="str">
        <f t="shared" si="1"/>
        <v/>
      </c>
    </row>
    <row r="62" spans="11:26" x14ac:dyDescent="0.25">
      <c r="N62" s="2"/>
      <c r="O62" s="2"/>
      <c r="P62" s="2"/>
      <c r="Q62" s="2"/>
      <c r="R62" s="2"/>
      <c r="S62" s="2"/>
      <c r="T62" s="2"/>
      <c r="U62" s="2"/>
      <c r="V62" s="2"/>
      <c r="W62" s="2"/>
      <c r="X62">
        <f t="shared" si="2"/>
        <v>0</v>
      </c>
      <c r="Z62" s="2" t="str">
        <f t="shared" si="1"/>
        <v/>
      </c>
    </row>
    <row r="63" spans="11:26" x14ac:dyDescent="0.25">
      <c r="N63" s="2"/>
      <c r="O63" s="2"/>
      <c r="P63" s="2"/>
      <c r="Q63" s="2"/>
      <c r="R63" s="2"/>
      <c r="S63" s="2"/>
      <c r="T63" s="2"/>
      <c r="U63" s="2"/>
      <c r="V63" s="2"/>
      <c r="W63" s="2"/>
      <c r="X63">
        <f t="shared" si="2"/>
        <v>0</v>
      </c>
      <c r="Z63" s="2" t="str">
        <f t="shared" si="1"/>
        <v/>
      </c>
    </row>
    <row r="64" spans="11:26" x14ac:dyDescent="0.25">
      <c r="N64" s="2"/>
      <c r="O64" s="2"/>
      <c r="P64" s="2"/>
      <c r="Q64" s="2"/>
      <c r="R64" s="2"/>
      <c r="S64" s="2"/>
      <c r="T64" s="2"/>
      <c r="U64" s="2"/>
      <c r="V64" s="2"/>
      <c r="W64" s="2"/>
      <c r="X64">
        <f t="shared" si="2"/>
        <v>0</v>
      </c>
      <c r="Z64" s="2" t="str">
        <f t="shared" si="1"/>
        <v/>
      </c>
    </row>
    <row r="65" spans="14:26" x14ac:dyDescent="0.25">
      <c r="N65" s="2"/>
      <c r="O65" s="2"/>
      <c r="P65" s="2"/>
      <c r="Q65" s="2"/>
      <c r="R65" s="2"/>
      <c r="S65" s="2"/>
      <c r="T65" s="2"/>
      <c r="U65" s="2"/>
      <c r="V65" s="2"/>
      <c r="W65" s="2"/>
      <c r="X65">
        <f t="shared" si="2"/>
        <v>0</v>
      </c>
      <c r="Z65" s="2" t="str">
        <f t="shared" si="1"/>
        <v/>
      </c>
    </row>
    <row r="66" spans="14:26" x14ac:dyDescent="0.25">
      <c r="N66" s="2"/>
      <c r="O66" s="2"/>
      <c r="P66" s="2"/>
      <c r="Q66" s="2"/>
      <c r="R66" s="2"/>
      <c r="S66" s="2"/>
      <c r="T66" s="2"/>
      <c r="U66" s="2"/>
      <c r="V66" s="2"/>
      <c r="W66" s="2"/>
      <c r="X66">
        <f t="shared" ref="X66:X75" si="3">COUNTIF(N66:W66,$A$2)*$B$2</f>
        <v>0</v>
      </c>
      <c r="Z66" s="2" t="str">
        <f t="shared" si="1"/>
        <v/>
      </c>
    </row>
    <row r="67" spans="14:26" x14ac:dyDescent="0.25">
      <c r="N67" s="2"/>
      <c r="O67" s="2"/>
      <c r="P67" s="2"/>
      <c r="Q67" s="2"/>
      <c r="R67" s="2"/>
      <c r="S67" s="2"/>
      <c r="T67" s="2"/>
      <c r="U67" s="2"/>
      <c r="V67" s="2"/>
      <c r="W67" s="2"/>
      <c r="X67">
        <f t="shared" si="3"/>
        <v>0</v>
      </c>
      <c r="Z67" s="2" t="str">
        <f t="shared" ref="Z67:Z130" si="4">IF(ROW()-1&lt;=MIN(100,MAX(1,MAX($D$2:$D$5000))),"Minggu "&amp;(ROW()-1),"")</f>
        <v/>
      </c>
    </row>
    <row r="68" spans="14:26" x14ac:dyDescent="0.25">
      <c r="N68" s="2"/>
      <c r="O68" s="2"/>
      <c r="P68" s="2"/>
      <c r="Q68" s="2"/>
      <c r="R68" s="2"/>
      <c r="S68" s="2"/>
      <c r="T68" s="2"/>
      <c r="U68" s="2"/>
      <c r="V68" s="2"/>
      <c r="W68" s="2"/>
      <c r="X68">
        <f t="shared" si="3"/>
        <v>0</v>
      </c>
      <c r="Z68" s="2" t="str">
        <f t="shared" si="4"/>
        <v/>
      </c>
    </row>
    <row r="69" spans="14:26" x14ac:dyDescent="0.25">
      <c r="N69" s="2"/>
      <c r="O69" s="2"/>
      <c r="P69" s="2"/>
      <c r="Q69" s="2"/>
      <c r="R69" s="2"/>
      <c r="S69" s="2"/>
      <c r="T69" s="2"/>
      <c r="U69" s="2"/>
      <c r="V69" s="2"/>
      <c r="W69" s="2"/>
      <c r="X69">
        <f t="shared" si="3"/>
        <v>0</v>
      </c>
      <c r="Z69" s="2" t="str">
        <f t="shared" si="4"/>
        <v/>
      </c>
    </row>
    <row r="70" spans="14:26" x14ac:dyDescent="0.25">
      <c r="N70" s="2"/>
      <c r="O70" s="2"/>
      <c r="P70" s="2"/>
      <c r="Q70" s="2"/>
      <c r="R70" s="2"/>
      <c r="S70" s="2"/>
      <c r="T70" s="2"/>
      <c r="U70" s="2"/>
      <c r="V70" s="2"/>
      <c r="W70" s="2"/>
      <c r="X70">
        <f t="shared" si="3"/>
        <v>0</v>
      </c>
      <c r="Z70" s="2" t="str">
        <f t="shared" si="4"/>
        <v/>
      </c>
    </row>
    <row r="71" spans="14:26" x14ac:dyDescent="0.25">
      <c r="N71" s="2"/>
      <c r="O71" s="2"/>
      <c r="P71" s="2"/>
      <c r="Q71" s="2"/>
      <c r="R71" s="2"/>
      <c r="S71" s="2"/>
      <c r="T71" s="2"/>
      <c r="U71" s="2"/>
      <c r="V71" s="2"/>
      <c r="W71" s="2"/>
      <c r="X71">
        <f t="shared" si="3"/>
        <v>0</v>
      </c>
      <c r="Z71" s="2" t="str">
        <f t="shared" si="4"/>
        <v/>
      </c>
    </row>
    <row r="72" spans="14:26" x14ac:dyDescent="0.25">
      <c r="N72" s="2"/>
      <c r="O72" s="2"/>
      <c r="P72" s="2"/>
      <c r="Q72" s="2"/>
      <c r="R72" s="2"/>
      <c r="S72" s="2"/>
      <c r="T72" s="2"/>
      <c r="U72" s="2"/>
      <c r="V72" s="2"/>
      <c r="W72" s="2"/>
      <c r="X72">
        <f t="shared" si="3"/>
        <v>0</v>
      </c>
      <c r="Z72" s="2" t="str">
        <f t="shared" si="4"/>
        <v/>
      </c>
    </row>
    <row r="73" spans="14:26" x14ac:dyDescent="0.25">
      <c r="N73" s="2"/>
      <c r="O73" s="2"/>
      <c r="P73" s="2"/>
      <c r="Q73" s="2"/>
      <c r="R73" s="2"/>
      <c r="S73" s="2"/>
      <c r="T73" s="2"/>
      <c r="U73" s="2"/>
      <c r="V73" s="2"/>
      <c r="W73" s="2"/>
      <c r="X73">
        <f t="shared" si="3"/>
        <v>0</v>
      </c>
      <c r="Z73" s="2" t="str">
        <f t="shared" si="4"/>
        <v/>
      </c>
    </row>
    <row r="74" spans="14:26" x14ac:dyDescent="0.25">
      <c r="N74" s="2"/>
      <c r="O74" s="2"/>
      <c r="P74" s="2"/>
      <c r="Q74" s="2"/>
      <c r="R74" s="2"/>
      <c r="S74" s="2"/>
      <c r="T74" s="2"/>
      <c r="U74" s="2"/>
      <c r="V74" s="2"/>
      <c r="W74" s="2"/>
      <c r="X74">
        <f t="shared" si="3"/>
        <v>0</v>
      </c>
      <c r="Z74" s="2" t="str">
        <f t="shared" si="4"/>
        <v/>
      </c>
    </row>
    <row r="75" spans="14:26" x14ac:dyDescent="0.25">
      <c r="N75" s="2"/>
      <c r="O75" s="2"/>
      <c r="P75" s="2"/>
      <c r="Q75" s="2"/>
      <c r="R75" s="2"/>
      <c r="S75" s="2"/>
      <c r="T75" s="2"/>
      <c r="U75" s="2"/>
      <c r="V75" s="2"/>
      <c r="W75" s="2"/>
      <c r="X75">
        <f t="shared" si="3"/>
        <v>0</v>
      </c>
      <c r="Z75" s="2" t="str">
        <f t="shared" si="4"/>
        <v/>
      </c>
    </row>
    <row r="76" spans="14:26" x14ac:dyDescent="0.25">
      <c r="Z76" s="2" t="str">
        <f t="shared" si="4"/>
        <v/>
      </c>
    </row>
    <row r="77" spans="14:26" x14ac:dyDescent="0.25">
      <c r="Z77" s="2" t="str">
        <f t="shared" si="4"/>
        <v/>
      </c>
    </row>
    <row r="78" spans="14:26" x14ac:dyDescent="0.25">
      <c r="Z78" s="2" t="str">
        <f t="shared" si="4"/>
        <v/>
      </c>
    </row>
    <row r="79" spans="14:26" x14ac:dyDescent="0.25">
      <c r="Z79" s="2" t="str">
        <f t="shared" si="4"/>
        <v/>
      </c>
    </row>
    <row r="80" spans="14:26" x14ac:dyDescent="0.25">
      <c r="Z80" s="2" t="str">
        <f t="shared" si="4"/>
        <v/>
      </c>
    </row>
    <row r="81" spans="26:26" x14ac:dyDescent="0.25">
      <c r="Z81" s="2" t="str">
        <f t="shared" si="4"/>
        <v/>
      </c>
    </row>
    <row r="82" spans="26:26" x14ac:dyDescent="0.25">
      <c r="Z82" s="2" t="str">
        <f t="shared" si="4"/>
        <v/>
      </c>
    </row>
    <row r="83" spans="26:26" x14ac:dyDescent="0.25">
      <c r="Z83" s="2" t="str">
        <f t="shared" si="4"/>
        <v/>
      </c>
    </row>
    <row r="84" spans="26:26" x14ac:dyDescent="0.25">
      <c r="Z84" s="2" t="str">
        <f t="shared" si="4"/>
        <v/>
      </c>
    </row>
    <row r="85" spans="26:26" x14ac:dyDescent="0.25">
      <c r="Z85" s="2" t="str">
        <f t="shared" si="4"/>
        <v/>
      </c>
    </row>
    <row r="86" spans="26:26" x14ac:dyDescent="0.25">
      <c r="Z86" s="2" t="str">
        <f t="shared" si="4"/>
        <v/>
      </c>
    </row>
    <row r="87" spans="26:26" x14ac:dyDescent="0.25">
      <c r="Z87" s="2" t="str">
        <f t="shared" si="4"/>
        <v/>
      </c>
    </row>
    <row r="88" spans="26:26" x14ac:dyDescent="0.25">
      <c r="Z88" s="2" t="str">
        <f t="shared" si="4"/>
        <v/>
      </c>
    </row>
    <row r="89" spans="26:26" x14ac:dyDescent="0.25">
      <c r="Z89" s="2" t="str">
        <f t="shared" si="4"/>
        <v/>
      </c>
    </row>
    <row r="90" spans="26:26" x14ac:dyDescent="0.25">
      <c r="Z90" s="2" t="str">
        <f t="shared" si="4"/>
        <v/>
      </c>
    </row>
    <row r="91" spans="26:26" x14ac:dyDescent="0.25">
      <c r="Z91" s="2" t="str">
        <f t="shared" si="4"/>
        <v/>
      </c>
    </row>
    <row r="92" spans="26:26" x14ac:dyDescent="0.25">
      <c r="Z92" s="2" t="str">
        <f t="shared" si="4"/>
        <v/>
      </c>
    </row>
    <row r="93" spans="26:26" x14ac:dyDescent="0.25">
      <c r="Z93" s="2" t="str">
        <f t="shared" si="4"/>
        <v/>
      </c>
    </row>
    <row r="94" spans="26:26" x14ac:dyDescent="0.25">
      <c r="Z94" s="2" t="str">
        <f t="shared" si="4"/>
        <v/>
      </c>
    </row>
    <row r="95" spans="26:26" x14ac:dyDescent="0.25">
      <c r="Z95" s="2" t="str">
        <f t="shared" si="4"/>
        <v/>
      </c>
    </row>
    <row r="96" spans="26:26" x14ac:dyDescent="0.25">
      <c r="Z96" s="2" t="str">
        <f t="shared" si="4"/>
        <v/>
      </c>
    </row>
    <row r="97" spans="26:26" x14ac:dyDescent="0.25">
      <c r="Z97" s="2" t="str">
        <f t="shared" si="4"/>
        <v/>
      </c>
    </row>
    <row r="98" spans="26:26" x14ac:dyDescent="0.25">
      <c r="Z98" s="2" t="str">
        <f t="shared" si="4"/>
        <v/>
      </c>
    </row>
    <row r="99" spans="26:26" x14ac:dyDescent="0.25">
      <c r="Z99" s="2" t="str">
        <f t="shared" si="4"/>
        <v/>
      </c>
    </row>
    <row r="100" spans="26:26" x14ac:dyDescent="0.25">
      <c r="Z100" s="2" t="str">
        <f t="shared" si="4"/>
        <v/>
      </c>
    </row>
    <row r="101" spans="26:26" x14ac:dyDescent="0.25">
      <c r="Z101" s="2" t="str">
        <f t="shared" si="4"/>
        <v/>
      </c>
    </row>
    <row r="102" spans="26:26" x14ac:dyDescent="0.25">
      <c r="Z102" s="2" t="str">
        <f t="shared" si="4"/>
        <v/>
      </c>
    </row>
    <row r="103" spans="26:26" x14ac:dyDescent="0.25">
      <c r="Z103" s="2" t="str">
        <f t="shared" si="4"/>
        <v/>
      </c>
    </row>
    <row r="104" spans="26:26" x14ac:dyDescent="0.25">
      <c r="Z104" s="2" t="str">
        <f t="shared" si="4"/>
        <v/>
      </c>
    </row>
    <row r="105" spans="26:26" x14ac:dyDescent="0.25">
      <c r="Z105" s="2" t="str">
        <f t="shared" si="4"/>
        <v/>
      </c>
    </row>
    <row r="106" spans="26:26" x14ac:dyDescent="0.25">
      <c r="Z106" s="2" t="str">
        <f t="shared" si="4"/>
        <v/>
      </c>
    </row>
    <row r="107" spans="26:26" x14ac:dyDescent="0.25">
      <c r="Z107" s="2" t="str">
        <f t="shared" si="4"/>
        <v/>
      </c>
    </row>
    <row r="108" spans="26:26" x14ac:dyDescent="0.25">
      <c r="Z108" s="2" t="str">
        <f t="shared" si="4"/>
        <v/>
      </c>
    </row>
    <row r="109" spans="26:26" x14ac:dyDescent="0.25">
      <c r="Z109" s="2" t="str">
        <f t="shared" si="4"/>
        <v/>
      </c>
    </row>
    <row r="110" spans="26:26" x14ac:dyDescent="0.25">
      <c r="Z110" s="2" t="str">
        <f t="shared" si="4"/>
        <v/>
      </c>
    </row>
    <row r="111" spans="26:26" x14ac:dyDescent="0.25">
      <c r="Z111" s="2" t="str">
        <f t="shared" si="4"/>
        <v/>
      </c>
    </row>
    <row r="112" spans="26:26" x14ac:dyDescent="0.25">
      <c r="Z112" s="2" t="str">
        <f t="shared" si="4"/>
        <v/>
      </c>
    </row>
    <row r="113" spans="26:26" x14ac:dyDescent="0.25">
      <c r="Z113" s="2" t="str">
        <f t="shared" si="4"/>
        <v/>
      </c>
    </row>
    <row r="114" spans="26:26" x14ac:dyDescent="0.25">
      <c r="Z114" s="2" t="str">
        <f t="shared" si="4"/>
        <v/>
      </c>
    </row>
    <row r="115" spans="26:26" x14ac:dyDescent="0.25">
      <c r="Z115" s="2" t="str">
        <f t="shared" si="4"/>
        <v/>
      </c>
    </row>
    <row r="116" spans="26:26" x14ac:dyDescent="0.25">
      <c r="Z116" s="2" t="str">
        <f t="shared" si="4"/>
        <v/>
      </c>
    </row>
    <row r="117" spans="26:26" x14ac:dyDescent="0.25">
      <c r="Z117" s="2" t="str">
        <f t="shared" si="4"/>
        <v/>
      </c>
    </row>
    <row r="118" spans="26:26" x14ac:dyDescent="0.25">
      <c r="Z118" s="2" t="str">
        <f t="shared" si="4"/>
        <v/>
      </c>
    </row>
    <row r="119" spans="26:26" x14ac:dyDescent="0.25">
      <c r="Z119" s="2" t="str">
        <f t="shared" si="4"/>
        <v/>
      </c>
    </row>
    <row r="120" spans="26:26" x14ac:dyDescent="0.25">
      <c r="Z120" s="2" t="str">
        <f t="shared" si="4"/>
        <v/>
      </c>
    </row>
    <row r="121" spans="26:26" x14ac:dyDescent="0.25">
      <c r="Z121" s="2" t="str">
        <f t="shared" si="4"/>
        <v/>
      </c>
    </row>
    <row r="122" spans="26:26" x14ac:dyDescent="0.25">
      <c r="Z122" s="2" t="str">
        <f t="shared" si="4"/>
        <v/>
      </c>
    </row>
    <row r="123" spans="26:26" x14ac:dyDescent="0.25">
      <c r="Z123" s="2" t="str">
        <f t="shared" si="4"/>
        <v/>
      </c>
    </row>
    <row r="124" spans="26:26" x14ac:dyDescent="0.25">
      <c r="Z124" s="2" t="str">
        <f t="shared" si="4"/>
        <v/>
      </c>
    </row>
    <row r="125" spans="26:26" x14ac:dyDescent="0.25">
      <c r="Z125" s="2" t="str">
        <f t="shared" si="4"/>
        <v/>
      </c>
    </row>
    <row r="126" spans="26:26" x14ac:dyDescent="0.25">
      <c r="Z126" s="2" t="str">
        <f t="shared" si="4"/>
        <v/>
      </c>
    </row>
    <row r="127" spans="26:26" x14ac:dyDescent="0.25">
      <c r="Z127" s="2" t="str">
        <f t="shared" si="4"/>
        <v/>
      </c>
    </row>
    <row r="128" spans="26:26" x14ac:dyDescent="0.25">
      <c r="Z128" s="2" t="str">
        <f t="shared" si="4"/>
        <v/>
      </c>
    </row>
    <row r="129" spans="26:26" x14ac:dyDescent="0.25">
      <c r="Z129" s="2" t="str">
        <f t="shared" si="4"/>
        <v/>
      </c>
    </row>
    <row r="130" spans="26:26" x14ac:dyDescent="0.25">
      <c r="Z130" s="2" t="str">
        <f t="shared" si="4"/>
        <v/>
      </c>
    </row>
    <row r="131" spans="26:26" x14ac:dyDescent="0.25">
      <c r="Z131" s="2" t="str">
        <f t="shared" ref="Z131:Z138" si="5">IF(ROW()-1&lt;=MIN(100,MAX(1,MAX($D$2:$D$5000))),"Minggu "&amp;(ROW()-1),"")</f>
        <v/>
      </c>
    </row>
    <row r="132" spans="26:26" x14ac:dyDescent="0.25">
      <c r="Z132" s="2" t="str">
        <f t="shared" si="5"/>
        <v/>
      </c>
    </row>
    <row r="133" spans="26:26" x14ac:dyDescent="0.25">
      <c r="Z133" s="2" t="str">
        <f t="shared" si="5"/>
        <v/>
      </c>
    </row>
    <row r="134" spans="26:26" x14ac:dyDescent="0.25">
      <c r="Z134" s="2" t="str">
        <f t="shared" si="5"/>
        <v/>
      </c>
    </row>
    <row r="135" spans="26:26" x14ac:dyDescent="0.25">
      <c r="Z135" s="2" t="str">
        <f t="shared" si="5"/>
        <v/>
      </c>
    </row>
    <row r="136" spans="26:26" x14ac:dyDescent="0.25">
      <c r="Z136" s="2" t="str">
        <f t="shared" si="5"/>
        <v/>
      </c>
    </row>
    <row r="137" spans="26:26" x14ac:dyDescent="0.25">
      <c r="Z137" s="2" t="str">
        <f t="shared" si="5"/>
        <v/>
      </c>
    </row>
    <row r="138" spans="26:26" x14ac:dyDescent="0.25">
      <c r="Z138" s="2" t="str">
        <f t="shared" si="5"/>
        <v/>
      </c>
    </row>
  </sheetData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DASHBOARD</vt:lpstr>
      <vt:lpstr>LANTAI 1</vt:lpstr>
      <vt:lpstr>LANTAI 2</vt:lpstr>
      <vt:lpstr>LANTAI 3</vt:lpstr>
      <vt:lpstr>MASTER DATA</vt:lpstr>
      <vt:lpstr>PilihanKebersihan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ASUS_</dc:creator>
  <cp:lastModifiedBy>ASUS_</cp:lastModifiedBy>
  <dcterms:created xsi:type="dcterms:W3CDTF">2026-10-03T11:15:41Z</dcterms:created>
  <dcterms:modified xsi:type="dcterms:W3CDTF">2026-10-05T00:56:02Z</dcterms:modified>
</cp:coreProperties>
</file>